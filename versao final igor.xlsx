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igor1\Downloads\"/>
    </mc:Choice>
  </mc:AlternateContent>
  <xr:revisionPtr revIDLastSave="0" documentId="8_{ECCC99F7-11ED-49AA-ACE6-EB4B57B545F9}" xr6:coauthVersionLast="47" xr6:coauthVersionMax="47" xr10:uidLastSave="{00000000-0000-0000-0000-000000000000}"/>
  <bookViews>
    <workbookView xWindow="-108" yWindow="-108" windowWidth="23256" windowHeight="12456" activeTab="1" xr2:uid="{445FBE18-A1B2-4209-B137-C52DB7416062}"/>
  </bookViews>
  <sheets>
    <sheet name="Planilha 1" sheetId="1" r:id="rId1"/>
    <sheet name="VENDAS" sheetId="3" r:id="rId2"/>
    <sheet name="QUANTIDADE PRODUTOS" sheetId="4" r:id="rId3"/>
    <sheet name="VENDAS PRODUTOS" sheetId="6" r:id="rId4"/>
  </sheets>
  <definedNames>
    <definedName name="_xlnm._FilterDatabase" localSheetId="0" hidden="1">'Planilha 1'!$A$1:$F$272</definedName>
  </definedNames>
  <calcPr calcId="191029"/>
  <pivotCaches>
    <pivotCache cacheId="2" r:id="rId5"/>
    <pivotCache cacheId="3" r:id="rId6"/>
    <pivotCache cacheId="4" r:id="rId7"/>
  </pivotCaches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3" i="1" l="1" a="1"/>
  <c r="J3" i="1"/>
  <c r="J4" i="1" a="1"/>
  <c r="J4" i="1"/>
  <c r="J5" i="1" a="1"/>
  <c r="J5" i="1"/>
  <c r="J6" i="1" a="1"/>
  <c r="J6" i="1"/>
  <c r="J7" i="1" a="1"/>
  <c r="J7" i="1"/>
  <c r="J8" i="1" a="1"/>
  <c r="J8" i="1"/>
  <c r="J9" i="1" a="1"/>
  <c r="J9" i="1"/>
  <c r="J10" i="1" a="1"/>
  <c r="J10" i="1"/>
  <c r="J11" i="1" a="1"/>
  <c r="J11" i="1"/>
  <c r="J12" i="1" a="1"/>
  <c r="J12" i="1"/>
  <c r="J13" i="1" a="1"/>
  <c r="J13" i="1"/>
  <c r="J14" i="1" a="1"/>
  <c r="J14" i="1"/>
  <c r="J15" i="1" a="1"/>
  <c r="J15" i="1"/>
  <c r="J16" i="1" a="1"/>
  <c r="J16" i="1"/>
  <c r="J17" i="1" a="1"/>
  <c r="J17" i="1"/>
  <c r="J18" i="1" a="1"/>
  <c r="J18" i="1"/>
  <c r="J19" i="1" a="1"/>
  <c r="J19" i="1"/>
  <c r="J20" i="1" a="1"/>
  <c r="J20" i="1"/>
  <c r="J21" i="1" a="1"/>
  <c r="J21" i="1"/>
  <c r="J22" i="1" a="1"/>
  <c r="J22" i="1"/>
  <c r="J23" i="1" a="1"/>
  <c r="J23" i="1"/>
  <c r="J24" i="1" a="1"/>
  <c r="J24" i="1"/>
  <c r="J25" i="1" a="1"/>
  <c r="J25" i="1"/>
  <c r="J26" i="1" a="1"/>
  <c r="J26" i="1"/>
  <c r="J27" i="1" a="1"/>
  <c r="J27" i="1"/>
  <c r="J28" i="1" a="1"/>
  <c r="J28" i="1"/>
  <c r="J29" i="1" a="1"/>
  <c r="J29" i="1"/>
  <c r="J30" i="1" a="1"/>
  <c r="J30" i="1"/>
  <c r="J31" i="1" a="1"/>
  <c r="J31" i="1"/>
  <c r="J32" i="1" a="1"/>
  <c r="J32" i="1"/>
  <c r="J33" i="1" a="1"/>
  <c r="J33" i="1"/>
  <c r="J34" i="1" a="1"/>
  <c r="J34" i="1"/>
  <c r="J35" i="1" a="1"/>
  <c r="J35" i="1"/>
  <c r="J36" i="1" a="1"/>
  <c r="J36" i="1"/>
  <c r="J37" i="1" a="1"/>
  <c r="J37" i="1"/>
  <c r="J38" i="1" a="1"/>
  <c r="J38" i="1"/>
  <c r="J39" i="1" a="1"/>
  <c r="J39" i="1"/>
  <c r="J40" i="1" a="1"/>
  <c r="J40" i="1"/>
  <c r="J41" i="1" a="1"/>
  <c r="J41" i="1"/>
  <c r="J42" i="1" a="1"/>
  <c r="J42" i="1"/>
  <c r="J43" i="1" a="1"/>
  <c r="J43" i="1"/>
  <c r="J44" i="1" a="1"/>
  <c r="J44" i="1"/>
  <c r="J45" i="1" a="1"/>
  <c r="J45" i="1"/>
  <c r="J46" i="1" a="1"/>
  <c r="J46" i="1"/>
  <c r="J47" i="1" a="1"/>
  <c r="J47" i="1"/>
  <c r="J48" i="1" a="1"/>
  <c r="J48" i="1"/>
  <c r="J49" i="1" a="1"/>
  <c r="J49" i="1"/>
  <c r="J50" i="1" a="1"/>
  <c r="J50" i="1"/>
  <c r="J51" i="1" a="1"/>
  <c r="J51" i="1"/>
  <c r="J52" i="1" a="1"/>
  <c r="J52" i="1"/>
  <c r="J53" i="1" a="1"/>
  <c r="J53" i="1"/>
  <c r="J54" i="1" a="1"/>
  <c r="J54" i="1"/>
  <c r="J55" i="1" a="1"/>
  <c r="J55" i="1"/>
  <c r="J56" i="1" a="1"/>
  <c r="J56" i="1"/>
  <c r="J57" i="1" a="1"/>
  <c r="J57" i="1"/>
  <c r="J58" i="1" a="1"/>
  <c r="J58" i="1"/>
  <c r="J59" i="1" a="1"/>
  <c r="J59" i="1"/>
  <c r="J60" i="1" a="1"/>
  <c r="J60" i="1"/>
  <c r="J61" i="1" a="1"/>
  <c r="J61" i="1"/>
  <c r="J62" i="1" a="1"/>
  <c r="J62" i="1"/>
  <c r="J63" i="1" a="1"/>
  <c r="J63" i="1"/>
  <c r="J64" i="1" a="1"/>
  <c r="J64" i="1"/>
  <c r="J65" i="1" a="1"/>
  <c r="J65" i="1"/>
  <c r="J66" i="1" a="1"/>
  <c r="J66" i="1"/>
  <c r="J67" i="1" a="1"/>
  <c r="J67" i="1"/>
  <c r="J68" i="1" a="1"/>
  <c r="J68" i="1"/>
  <c r="J69" i="1" a="1"/>
  <c r="J69" i="1"/>
  <c r="J70" i="1" a="1"/>
  <c r="J70" i="1"/>
  <c r="J71" i="1" a="1"/>
  <c r="J71" i="1"/>
  <c r="J72" i="1" a="1"/>
  <c r="J72" i="1"/>
  <c r="J73" i="1" a="1"/>
  <c r="J73" i="1"/>
  <c r="J74" i="1" a="1"/>
  <c r="J74" i="1"/>
  <c r="J75" i="1" a="1"/>
  <c r="J75" i="1"/>
  <c r="J76" i="1" a="1"/>
  <c r="J76" i="1"/>
  <c r="J77" i="1" a="1"/>
  <c r="J77" i="1"/>
  <c r="J78" i="1" a="1"/>
  <c r="J78" i="1"/>
  <c r="J79" i="1" a="1"/>
  <c r="J79" i="1"/>
  <c r="J80" i="1" a="1"/>
  <c r="J80" i="1"/>
  <c r="J81" i="1" a="1"/>
  <c r="J81" i="1"/>
  <c r="J82" i="1" a="1"/>
  <c r="J82" i="1"/>
  <c r="J83" i="1" a="1"/>
  <c r="J83" i="1"/>
  <c r="J84" i="1" a="1"/>
  <c r="J84" i="1"/>
  <c r="J85" i="1" a="1"/>
  <c r="J85" i="1"/>
  <c r="J86" i="1" a="1"/>
  <c r="J86" i="1"/>
  <c r="J87" i="1" a="1"/>
  <c r="J87" i="1"/>
  <c r="J88" i="1" a="1"/>
  <c r="J88" i="1"/>
  <c r="J89" i="1" a="1"/>
  <c r="J89" i="1"/>
  <c r="J90" i="1" a="1"/>
  <c r="J90" i="1"/>
  <c r="J91" i="1" a="1"/>
  <c r="J91" i="1"/>
  <c r="J92" i="1" a="1"/>
  <c r="J92" i="1"/>
  <c r="J93" i="1" a="1"/>
  <c r="J93" i="1"/>
  <c r="J94" i="1" a="1"/>
  <c r="J94" i="1"/>
  <c r="J95" i="1" a="1"/>
  <c r="J95" i="1"/>
  <c r="J96" i="1" a="1"/>
  <c r="J96" i="1"/>
  <c r="J97" i="1" a="1"/>
  <c r="J97" i="1"/>
  <c r="J98" i="1" a="1"/>
  <c r="J98" i="1"/>
  <c r="J99" i="1" a="1"/>
  <c r="J99" i="1"/>
  <c r="J100" i="1" a="1"/>
  <c r="J100" i="1"/>
  <c r="J101" i="1" a="1"/>
  <c r="J101" i="1"/>
  <c r="J102" i="1" a="1"/>
  <c r="J102" i="1"/>
  <c r="J103" i="1" a="1"/>
  <c r="J103" i="1"/>
  <c r="J104" i="1" a="1"/>
  <c r="J104" i="1"/>
  <c r="J105" i="1" a="1"/>
  <c r="J105" i="1"/>
  <c r="J106" i="1" a="1"/>
  <c r="J106" i="1"/>
  <c r="J107" i="1" a="1"/>
  <c r="J107" i="1"/>
  <c r="J108" i="1" a="1"/>
  <c r="J108" i="1"/>
  <c r="J109" i="1" a="1"/>
  <c r="J109" i="1"/>
  <c r="J110" i="1" a="1"/>
  <c r="J110" i="1"/>
  <c r="J111" i="1" a="1"/>
  <c r="J111" i="1"/>
  <c r="J112" i="1" a="1"/>
  <c r="J112" i="1"/>
  <c r="J113" i="1" a="1"/>
  <c r="J113" i="1"/>
  <c r="J114" i="1" a="1"/>
  <c r="J114" i="1"/>
  <c r="J115" i="1" a="1"/>
  <c r="J115" i="1"/>
  <c r="J116" i="1" a="1"/>
  <c r="J116" i="1"/>
  <c r="J117" i="1" a="1"/>
  <c r="J117" i="1"/>
  <c r="J118" i="1" a="1"/>
  <c r="J118" i="1"/>
  <c r="J119" i="1" a="1"/>
  <c r="J119" i="1"/>
  <c r="J120" i="1" a="1"/>
  <c r="J120" i="1"/>
  <c r="J121" i="1" a="1"/>
  <c r="J121" i="1"/>
  <c r="J122" i="1" a="1"/>
  <c r="J122" i="1"/>
  <c r="J123" i="1" a="1"/>
  <c r="J123" i="1"/>
  <c r="J124" i="1" a="1"/>
  <c r="J124" i="1"/>
  <c r="J125" i="1" a="1"/>
  <c r="J125" i="1"/>
  <c r="J126" i="1" a="1"/>
  <c r="J126" i="1"/>
  <c r="J127" i="1" a="1"/>
  <c r="J127" i="1"/>
  <c r="J128" i="1" a="1"/>
  <c r="J128" i="1"/>
  <c r="J129" i="1" a="1"/>
  <c r="J129" i="1"/>
  <c r="J130" i="1" a="1"/>
  <c r="J130" i="1"/>
  <c r="J131" i="1" a="1"/>
  <c r="J131" i="1"/>
  <c r="J132" i="1" a="1"/>
  <c r="J132" i="1"/>
  <c r="J133" i="1" a="1"/>
  <c r="J133" i="1"/>
  <c r="J134" i="1" a="1"/>
  <c r="J134" i="1"/>
  <c r="J135" i="1" a="1"/>
  <c r="J135" i="1"/>
  <c r="J136" i="1" a="1"/>
  <c r="J136" i="1"/>
  <c r="J137" i="1" a="1"/>
  <c r="J137" i="1"/>
  <c r="J138" i="1" a="1"/>
  <c r="J138" i="1"/>
  <c r="J139" i="1" a="1"/>
  <c r="J139" i="1"/>
  <c r="J140" i="1" a="1"/>
  <c r="J140" i="1"/>
  <c r="J141" i="1" a="1"/>
  <c r="J141" i="1"/>
  <c r="J142" i="1" a="1"/>
  <c r="J142" i="1"/>
  <c r="J143" i="1" a="1"/>
  <c r="J143" i="1"/>
  <c r="J144" i="1" a="1"/>
  <c r="J144" i="1"/>
  <c r="J145" i="1" a="1"/>
  <c r="J145" i="1"/>
  <c r="J146" i="1" a="1"/>
  <c r="J146" i="1"/>
  <c r="J147" i="1" a="1"/>
  <c r="J147" i="1"/>
  <c r="J148" i="1" a="1"/>
  <c r="J148" i="1"/>
  <c r="J149" i="1" a="1"/>
  <c r="J149" i="1"/>
  <c r="J150" i="1" a="1"/>
  <c r="J150" i="1"/>
  <c r="J151" i="1" a="1"/>
  <c r="J151" i="1"/>
  <c r="J152" i="1" a="1"/>
  <c r="J152" i="1"/>
  <c r="J153" i="1" a="1"/>
  <c r="J153" i="1"/>
  <c r="J154" i="1" a="1"/>
  <c r="J154" i="1"/>
  <c r="J155" i="1" a="1"/>
  <c r="J155" i="1"/>
  <c r="J156" i="1" a="1"/>
  <c r="J156" i="1"/>
  <c r="J157" i="1" a="1"/>
  <c r="J157" i="1"/>
  <c r="J158" i="1" a="1"/>
  <c r="J158" i="1"/>
  <c r="J159" i="1" a="1"/>
  <c r="J159" i="1"/>
  <c r="J160" i="1" a="1"/>
  <c r="J160" i="1"/>
  <c r="J161" i="1" a="1"/>
  <c r="J161" i="1"/>
  <c r="J162" i="1" a="1"/>
  <c r="J162" i="1"/>
  <c r="J163" i="1" a="1"/>
  <c r="J163" i="1"/>
  <c r="J164" i="1" a="1"/>
  <c r="J164" i="1"/>
  <c r="J165" i="1" a="1"/>
  <c r="J165" i="1"/>
  <c r="J166" i="1" a="1"/>
  <c r="J166" i="1"/>
  <c r="J167" i="1" a="1"/>
  <c r="J167" i="1"/>
  <c r="J168" i="1" a="1"/>
  <c r="J168" i="1"/>
  <c r="J169" i="1" a="1"/>
  <c r="J169" i="1"/>
  <c r="J170" i="1" a="1"/>
  <c r="J170" i="1"/>
  <c r="J171" i="1" a="1"/>
  <c r="J171" i="1"/>
  <c r="J172" i="1" a="1"/>
  <c r="J172" i="1"/>
  <c r="J173" i="1" a="1"/>
  <c r="J173" i="1"/>
  <c r="J174" i="1" a="1"/>
  <c r="J174" i="1"/>
  <c r="J175" i="1" a="1"/>
  <c r="J175" i="1"/>
  <c r="J176" i="1" a="1"/>
  <c r="J176" i="1"/>
  <c r="J177" i="1" a="1"/>
  <c r="J177" i="1"/>
  <c r="J178" i="1" a="1"/>
  <c r="J178" i="1"/>
  <c r="J179" i="1" a="1"/>
  <c r="J179" i="1"/>
  <c r="J180" i="1" a="1"/>
  <c r="J180" i="1"/>
  <c r="J181" i="1" a="1"/>
  <c r="J181" i="1"/>
  <c r="J182" i="1" a="1"/>
  <c r="J182" i="1"/>
  <c r="J183" i="1" a="1"/>
  <c r="J183" i="1"/>
  <c r="J184" i="1" a="1"/>
  <c r="J184" i="1"/>
  <c r="J185" i="1" a="1"/>
  <c r="J185" i="1"/>
  <c r="J186" i="1" a="1"/>
  <c r="J186" i="1"/>
  <c r="J187" i="1" a="1"/>
  <c r="J187" i="1"/>
  <c r="J188" i="1" a="1"/>
  <c r="J188" i="1"/>
  <c r="J189" i="1" a="1"/>
  <c r="J189" i="1"/>
  <c r="J190" i="1" a="1"/>
  <c r="J190" i="1"/>
  <c r="J191" i="1" a="1"/>
  <c r="J191" i="1"/>
  <c r="J192" i="1" a="1"/>
  <c r="J192" i="1"/>
  <c r="J193" i="1" a="1"/>
  <c r="J193" i="1"/>
  <c r="J194" i="1" a="1"/>
  <c r="J194" i="1"/>
  <c r="J195" i="1" a="1"/>
  <c r="J195" i="1"/>
  <c r="J196" i="1" a="1"/>
  <c r="J196" i="1"/>
  <c r="J197" i="1" a="1"/>
  <c r="J197" i="1"/>
  <c r="J198" i="1" a="1"/>
  <c r="J198" i="1"/>
  <c r="J199" i="1" a="1"/>
  <c r="J199" i="1"/>
  <c r="J200" i="1" a="1"/>
  <c r="J200" i="1"/>
  <c r="J201" i="1" a="1"/>
  <c r="J201" i="1"/>
  <c r="J202" i="1" a="1"/>
  <c r="J202" i="1"/>
  <c r="J203" i="1" a="1"/>
  <c r="J203" i="1"/>
  <c r="J204" i="1" a="1"/>
  <c r="J204" i="1"/>
  <c r="J205" i="1" a="1"/>
  <c r="J205" i="1"/>
  <c r="J206" i="1" a="1"/>
  <c r="J206" i="1"/>
  <c r="J207" i="1" a="1"/>
  <c r="J207" i="1"/>
  <c r="J208" i="1" a="1"/>
  <c r="J208" i="1"/>
  <c r="J209" i="1" a="1"/>
  <c r="J209" i="1"/>
  <c r="J210" i="1" a="1"/>
  <c r="J210" i="1"/>
  <c r="J211" i="1" a="1"/>
  <c r="J211" i="1"/>
  <c r="J212" i="1" a="1"/>
  <c r="J212" i="1"/>
  <c r="J213" i="1" a="1"/>
  <c r="J213" i="1"/>
  <c r="J214" i="1" a="1"/>
  <c r="J214" i="1"/>
  <c r="J215" i="1" a="1"/>
  <c r="J215" i="1"/>
  <c r="J216" i="1" a="1"/>
  <c r="J216" i="1"/>
  <c r="J217" i="1" a="1"/>
  <c r="J217" i="1"/>
  <c r="J218" i="1" a="1"/>
  <c r="J218" i="1"/>
  <c r="J219" i="1" a="1"/>
  <c r="J219" i="1"/>
  <c r="J220" i="1" a="1"/>
  <c r="J220" i="1"/>
  <c r="J221" i="1" a="1"/>
  <c r="J221" i="1"/>
  <c r="J222" i="1" a="1"/>
  <c r="J222" i="1"/>
  <c r="J223" i="1" a="1"/>
  <c r="J223" i="1"/>
  <c r="J224" i="1" a="1"/>
  <c r="J224" i="1"/>
  <c r="J225" i="1" a="1"/>
  <c r="J225" i="1"/>
  <c r="J226" i="1" a="1"/>
  <c r="J226" i="1"/>
  <c r="J227" i="1" a="1"/>
  <c r="J227" i="1"/>
  <c r="J228" i="1" a="1"/>
  <c r="J228" i="1"/>
  <c r="J229" i="1" a="1"/>
  <c r="J229" i="1"/>
  <c r="J230" i="1" a="1"/>
  <c r="J230" i="1"/>
  <c r="J231" i="1" a="1"/>
  <c r="J231" i="1"/>
  <c r="J232" i="1" a="1"/>
  <c r="J232" i="1"/>
  <c r="J233" i="1" a="1"/>
  <c r="J233" i="1"/>
  <c r="J234" i="1" a="1"/>
  <c r="J234" i="1"/>
  <c r="J235" i="1" a="1"/>
  <c r="J235" i="1"/>
  <c r="J236" i="1" a="1"/>
  <c r="J236" i="1"/>
  <c r="J237" i="1" a="1"/>
  <c r="J237" i="1"/>
  <c r="J238" i="1" a="1"/>
  <c r="J238" i="1" s="1"/>
  <c r="J239" i="1" a="1"/>
  <c r="J239" i="1"/>
  <c r="J240" i="1" a="1"/>
  <c r="J240" i="1"/>
  <c r="J241" i="1" a="1"/>
  <c r="J241" i="1"/>
  <c r="J242" i="1" a="1"/>
  <c r="J242" i="1"/>
  <c r="J243" i="1" a="1"/>
  <c r="J243" i="1"/>
  <c r="J244" i="1" a="1"/>
  <c r="J244" i="1" s="1"/>
  <c r="J245" i="1" a="1"/>
  <c r="J245" i="1"/>
  <c r="J246" i="1" a="1"/>
  <c r="J246" i="1"/>
  <c r="J247" i="1" a="1"/>
  <c r="J247" i="1"/>
  <c r="J248" i="1" a="1"/>
  <c r="J248" i="1"/>
  <c r="J249" i="1" a="1"/>
  <c r="J249" i="1"/>
  <c r="J250" i="1" a="1"/>
  <c r="J250" i="1" s="1"/>
  <c r="J251" i="1" a="1"/>
  <c r="J251" i="1"/>
  <c r="J252" i="1" a="1"/>
  <c r="J252" i="1"/>
  <c r="J253" i="1" a="1"/>
  <c r="J253" i="1"/>
  <c r="J254" i="1" a="1"/>
  <c r="J254" i="1"/>
  <c r="J255" i="1" a="1"/>
  <c r="J255" i="1"/>
  <c r="J256" i="1" a="1"/>
  <c r="J256" i="1" s="1"/>
  <c r="J257" i="1" a="1"/>
  <c r="J257" i="1"/>
  <c r="J258" i="1" a="1"/>
  <c r="J258" i="1"/>
  <c r="J259" i="1" a="1"/>
  <c r="J259" i="1"/>
  <c r="J260" i="1" a="1"/>
  <c r="J260" i="1"/>
  <c r="J261" i="1" a="1"/>
  <c r="J261" i="1"/>
  <c r="J262" i="1" a="1"/>
  <c r="J262" i="1" s="1"/>
  <c r="J263" i="1" a="1"/>
  <c r="J263" i="1"/>
  <c r="J264" i="1" a="1"/>
  <c r="J264" i="1"/>
  <c r="J265" i="1" a="1"/>
  <c r="J265" i="1"/>
  <c r="J266" i="1" a="1"/>
  <c r="J266" i="1"/>
  <c r="J267" i="1" a="1"/>
  <c r="J267" i="1"/>
  <c r="J268" i="1" a="1"/>
  <c r="J268" i="1" s="1"/>
  <c r="J269" i="1" a="1"/>
  <c r="J269" i="1"/>
  <c r="J270" i="1" a="1"/>
  <c r="J270" i="1"/>
  <c r="J271" i="1" a="1"/>
  <c r="J271" i="1"/>
  <c r="J272" i="1" a="1"/>
  <c r="J272" i="1"/>
  <c r="J2" i="1" a="1"/>
  <c r="J2" i="1" s="1"/>
  <c r="H4" i="1"/>
  <c r="H7" i="1"/>
  <c r="H8" i="1"/>
  <c r="H9" i="1"/>
  <c r="H10" i="1"/>
  <c r="H12" i="1"/>
  <c r="H13" i="1"/>
  <c r="H14" i="1"/>
  <c r="H18" i="1"/>
  <c r="H19" i="1"/>
  <c r="H20" i="1"/>
  <c r="H21" i="1"/>
  <c r="H22" i="1"/>
  <c r="H23" i="1"/>
  <c r="H24" i="1"/>
  <c r="H25" i="1"/>
  <c r="H39" i="1"/>
  <c r="H40" i="1"/>
  <c r="H41" i="1"/>
  <c r="H42" i="1"/>
  <c r="H49" i="1"/>
  <c r="H51" i="1"/>
  <c r="H52" i="1"/>
  <c r="H53" i="1"/>
  <c r="H54" i="1"/>
  <c r="H55" i="1"/>
  <c r="H56" i="1"/>
  <c r="H58" i="1"/>
  <c r="H59" i="1"/>
  <c r="H60" i="1"/>
  <c r="H61" i="1"/>
  <c r="H62" i="1"/>
  <c r="H64" i="1"/>
  <c r="H65" i="1"/>
  <c r="H67" i="1"/>
  <c r="H68" i="1"/>
  <c r="H69" i="1"/>
  <c r="H70" i="1"/>
  <c r="H71" i="1"/>
  <c r="H73" i="1"/>
  <c r="H74" i="1"/>
  <c r="H75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3" i="1"/>
  <c r="H124" i="1"/>
  <c r="H125" i="1"/>
  <c r="H126" i="1"/>
  <c r="H127" i="1"/>
  <c r="H129" i="1"/>
  <c r="H130" i="1"/>
  <c r="H131" i="1"/>
  <c r="H132" i="1"/>
  <c r="H134" i="1"/>
  <c r="H135" i="1"/>
  <c r="H136" i="1"/>
  <c r="H137" i="1"/>
  <c r="H138" i="1"/>
  <c r="H140" i="1"/>
  <c r="H141" i="1"/>
  <c r="H142" i="1"/>
  <c r="H144" i="1"/>
  <c r="H145" i="1"/>
  <c r="H146" i="1"/>
  <c r="H155" i="1"/>
  <c r="H156" i="1"/>
  <c r="H157" i="1"/>
  <c r="H158" i="1"/>
  <c r="H159" i="1"/>
  <c r="H161" i="1"/>
  <c r="H162" i="1"/>
  <c r="H163" i="1"/>
  <c r="H170" i="1"/>
  <c r="H171" i="1"/>
  <c r="H172" i="1"/>
  <c r="H176" i="1"/>
  <c r="H183" i="1"/>
  <c r="H200" i="1"/>
  <c r="H201" i="1"/>
  <c r="H202" i="1"/>
  <c r="H203" i="1"/>
  <c r="H204" i="1"/>
  <c r="H205" i="1"/>
  <c r="H206" i="1"/>
  <c r="H207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2" i="1"/>
  <c r="H243" i="1"/>
  <c r="H244" i="1"/>
  <c r="H245" i="1"/>
  <c r="H246" i="1"/>
  <c r="H248" i="1"/>
  <c r="H249" i="1"/>
  <c r="H250" i="1"/>
  <c r="H251" i="1"/>
  <c r="H252" i="1"/>
  <c r="H253" i="1"/>
  <c r="H254" i="1"/>
  <c r="H255" i="1"/>
  <c r="H256" i="1"/>
  <c r="H257" i="1"/>
  <c r="H259" i="1"/>
  <c r="H260" i="1"/>
  <c r="H262" i="1"/>
  <c r="H263" i="1"/>
  <c r="H264" i="1"/>
  <c r="G3" i="1"/>
  <c r="G4" i="1"/>
  <c r="G5" i="1"/>
  <c r="H5" i="1" s="1"/>
  <c r="G6" i="1"/>
  <c r="H6" i="1" s="1"/>
  <c r="G7" i="1"/>
  <c r="G8" i="1"/>
  <c r="G9" i="1"/>
  <c r="G10" i="1"/>
  <c r="G11" i="1"/>
  <c r="G12" i="1"/>
  <c r="G13" i="1"/>
  <c r="G14" i="1"/>
  <c r="G15" i="1"/>
  <c r="H15" i="1" s="1"/>
  <c r="G16" i="1"/>
  <c r="H16" i="1" s="1"/>
  <c r="G17" i="1"/>
  <c r="H17" i="1" s="1"/>
  <c r="G18" i="1"/>
  <c r="G19" i="1"/>
  <c r="G20" i="1"/>
  <c r="G21" i="1"/>
  <c r="G22" i="1"/>
  <c r="G23" i="1"/>
  <c r="G24" i="1"/>
  <c r="G25" i="1"/>
  <c r="G26" i="1"/>
  <c r="G27" i="1"/>
  <c r="G28" i="1"/>
  <c r="H28" i="1" s="1"/>
  <c r="G29" i="1"/>
  <c r="H29" i="1" s="1"/>
  <c r="G30" i="1"/>
  <c r="H30" i="1" s="1"/>
  <c r="G31" i="1"/>
  <c r="H31" i="1" s="1"/>
  <c r="G32" i="1"/>
  <c r="G33" i="1"/>
  <c r="G34" i="1"/>
  <c r="G35" i="1"/>
  <c r="G36" i="1"/>
  <c r="G37" i="1"/>
  <c r="H37" i="1" s="1"/>
  <c r="G38" i="1"/>
  <c r="H38" i="1" s="1"/>
  <c r="G39" i="1"/>
  <c r="G40" i="1"/>
  <c r="G41" i="1"/>
  <c r="G42" i="1"/>
  <c r="G43" i="1"/>
  <c r="H43" i="1" s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H66" i="1" s="1"/>
  <c r="G67" i="1"/>
  <c r="G68" i="1"/>
  <c r="G69" i="1"/>
  <c r="G70" i="1"/>
  <c r="G71" i="1"/>
  <c r="G72" i="1"/>
  <c r="G73" i="1"/>
  <c r="G74" i="1"/>
  <c r="G75" i="1"/>
  <c r="G76" i="1"/>
  <c r="H76" i="1" s="1"/>
  <c r="G77" i="1"/>
  <c r="H77" i="1" s="1"/>
  <c r="G78" i="1"/>
  <c r="H78" i="1" s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H139" i="1" s="1"/>
  <c r="G140" i="1"/>
  <c r="G141" i="1"/>
  <c r="G142" i="1"/>
  <c r="G143" i="1"/>
  <c r="G144" i="1"/>
  <c r="G145" i="1"/>
  <c r="G146" i="1"/>
  <c r="G147" i="1"/>
  <c r="G148" i="1"/>
  <c r="H148" i="1" s="1"/>
  <c r="G149" i="1"/>
  <c r="H149" i="1" s="1"/>
  <c r="G150" i="1"/>
  <c r="H150" i="1" s="1"/>
  <c r="G151" i="1"/>
  <c r="H151" i="1" s="1"/>
  <c r="G152" i="1"/>
  <c r="H152" i="1" s="1"/>
  <c r="G153" i="1"/>
  <c r="H153" i="1" s="1"/>
  <c r="G154" i="1"/>
  <c r="G155" i="1"/>
  <c r="G156" i="1"/>
  <c r="G157" i="1"/>
  <c r="G158" i="1"/>
  <c r="G159" i="1"/>
  <c r="G160" i="1"/>
  <c r="H160" i="1" s="1"/>
  <c r="G161" i="1"/>
  <c r="G162" i="1"/>
  <c r="G163" i="1"/>
  <c r="G164" i="1"/>
  <c r="G165" i="1"/>
  <c r="G166" i="1"/>
  <c r="H166" i="1" s="1"/>
  <c r="G167" i="1"/>
  <c r="G168" i="1"/>
  <c r="G169" i="1"/>
  <c r="G170" i="1"/>
  <c r="G171" i="1"/>
  <c r="G172" i="1"/>
  <c r="G173" i="1"/>
  <c r="H173" i="1" s="1"/>
  <c r="G174" i="1"/>
  <c r="H174" i="1" s="1"/>
  <c r="G175" i="1"/>
  <c r="H175" i="1" s="1"/>
  <c r="G176" i="1"/>
  <c r="G177" i="1"/>
  <c r="G178" i="1"/>
  <c r="G179" i="1"/>
  <c r="H179" i="1" s="1"/>
  <c r="G180" i="1"/>
  <c r="G181" i="1"/>
  <c r="H181" i="1" s="1"/>
  <c r="G182" i="1"/>
  <c r="H182" i="1" s="1"/>
  <c r="G183" i="1"/>
  <c r="G184" i="1"/>
  <c r="H184" i="1" s="1"/>
  <c r="G185" i="1"/>
  <c r="H185" i="1" s="1"/>
  <c r="G186" i="1"/>
  <c r="H186" i="1" s="1"/>
  <c r="G187" i="1"/>
  <c r="H187" i="1" s="1"/>
  <c r="G188" i="1"/>
  <c r="G189" i="1"/>
  <c r="G190" i="1"/>
  <c r="G191" i="1"/>
  <c r="G192" i="1"/>
  <c r="H192" i="1" s="1"/>
  <c r="G193" i="1"/>
  <c r="H193" i="1" s="1"/>
  <c r="G194" i="1"/>
  <c r="G195" i="1"/>
  <c r="H195" i="1" s="1"/>
  <c r="G196" i="1"/>
  <c r="H196" i="1" s="1"/>
  <c r="G197" i="1"/>
  <c r="H197" i="1" s="1"/>
  <c r="G198" i="1"/>
  <c r="H198" i="1" s="1"/>
  <c r="G199" i="1"/>
  <c r="H199" i="1" s="1"/>
  <c r="G200" i="1"/>
  <c r="G201" i="1"/>
  <c r="G202" i="1"/>
  <c r="G203" i="1"/>
  <c r="G204" i="1"/>
  <c r="G205" i="1"/>
  <c r="G206" i="1"/>
  <c r="G207" i="1"/>
  <c r="G208" i="1"/>
  <c r="H208" i="1" s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H222" i="1" s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H247" i="1" s="1"/>
  <c r="G248" i="1"/>
  <c r="G249" i="1"/>
  <c r="G250" i="1"/>
  <c r="G251" i="1"/>
  <c r="G252" i="1"/>
  <c r="G253" i="1"/>
  <c r="G254" i="1"/>
  <c r="G255" i="1"/>
  <c r="G256" i="1"/>
  <c r="G257" i="1"/>
  <c r="G258" i="1"/>
  <c r="H258" i="1" s="1"/>
  <c r="G259" i="1"/>
  <c r="G260" i="1"/>
  <c r="G261" i="1"/>
  <c r="G262" i="1"/>
  <c r="G263" i="1"/>
  <c r="G264" i="1"/>
  <c r="G265" i="1"/>
  <c r="G266" i="1"/>
  <c r="G267" i="1"/>
  <c r="H267" i="1" s="1"/>
  <c r="G268" i="1"/>
  <c r="H268" i="1" s="1"/>
  <c r="G269" i="1"/>
  <c r="H269" i="1" s="1"/>
  <c r="G270" i="1"/>
  <c r="H270" i="1" s="1"/>
  <c r="G271" i="1"/>
  <c r="H271" i="1" s="1"/>
  <c r="G272" i="1"/>
  <c r="G2" i="1"/>
  <c r="H143" i="1" l="1"/>
  <c r="H46" i="1"/>
  <c r="H189" i="1"/>
  <c r="H45" i="1"/>
  <c r="H168" i="1"/>
  <c r="H167" i="1"/>
  <c r="H178" i="1"/>
  <c r="H261" i="1"/>
  <c r="H272" i="1"/>
  <c r="H188" i="1"/>
  <c r="H164" i="1"/>
  <c r="H128" i="1"/>
  <c r="H44" i="1"/>
  <c r="H72" i="1"/>
  <c r="H154" i="1"/>
  <c r="H34" i="1"/>
  <c r="H190" i="1"/>
  <c r="H265" i="1"/>
  <c r="H2" i="1"/>
  <c r="H177" i="1"/>
  <c r="H57" i="1"/>
  <c r="H33" i="1"/>
  <c r="H147" i="1"/>
  <c r="H63" i="1"/>
  <c r="H241" i="1"/>
  <c r="H169" i="1"/>
  <c r="H133" i="1"/>
  <c r="H165" i="1"/>
  <c r="H32" i="1"/>
  <c r="H27" i="1"/>
  <c r="H3" i="1"/>
  <c r="H266" i="1"/>
  <c r="H194" i="1"/>
  <c r="H122" i="1"/>
  <c r="H50" i="1"/>
  <c r="S4" i="1" s="1"/>
  <c r="T4" i="1" s="1"/>
  <c r="I126" i="1" s="1"/>
  <c r="H26" i="1"/>
  <c r="H48" i="1"/>
  <c r="H36" i="1"/>
  <c r="H191" i="1"/>
  <c r="H47" i="1"/>
  <c r="H35" i="1"/>
  <c r="H11" i="1"/>
  <c r="H180" i="1"/>
  <c r="I70" i="1" l="1"/>
  <c r="I123" i="1"/>
  <c r="I58" i="1"/>
  <c r="I111" i="1"/>
  <c r="I46" i="1"/>
  <c r="I99" i="1"/>
  <c r="I104" i="1"/>
  <c r="I92" i="1"/>
  <c r="I80" i="1"/>
  <c r="I145" i="1"/>
  <c r="I55" i="1"/>
  <c r="I133" i="1"/>
  <c r="I138" i="1"/>
  <c r="I121" i="1"/>
  <c r="I171" i="1"/>
  <c r="I160" i="1"/>
  <c r="I161" i="1"/>
  <c r="I150" i="1"/>
  <c r="I139" i="1"/>
  <c r="I128" i="1"/>
  <c r="I117" i="1"/>
  <c r="I118" i="1"/>
  <c r="I131" i="1"/>
  <c r="I144" i="1"/>
  <c r="I157" i="1"/>
  <c r="I39" i="1"/>
  <c r="I122" i="1"/>
  <c r="I172" i="1"/>
  <c r="I173" i="1"/>
  <c r="I162" i="1"/>
  <c r="I151" i="1"/>
  <c r="I140" i="1"/>
  <c r="I129" i="1"/>
  <c r="I130" i="1"/>
  <c r="I143" i="1"/>
  <c r="I156" i="1"/>
  <c r="I169" i="1"/>
  <c r="I51" i="1"/>
  <c r="I40" i="1"/>
  <c r="I41" i="1"/>
  <c r="I110" i="1"/>
  <c r="I174" i="1"/>
  <c r="I163" i="1"/>
  <c r="I152" i="1"/>
  <c r="I141" i="1"/>
  <c r="I142" i="1"/>
  <c r="I155" i="1"/>
  <c r="I168" i="1"/>
  <c r="I50" i="1"/>
  <c r="I76" i="1"/>
  <c r="I63" i="1"/>
  <c r="I52" i="1"/>
  <c r="I53" i="1"/>
  <c r="I42" i="1"/>
  <c r="I134" i="1"/>
  <c r="I175" i="1"/>
  <c r="I164" i="1"/>
  <c r="I153" i="1"/>
  <c r="I154" i="1"/>
  <c r="I167" i="1"/>
  <c r="I49" i="1"/>
  <c r="I62" i="1"/>
  <c r="I75" i="1"/>
  <c r="I64" i="1"/>
  <c r="I65" i="1"/>
  <c r="I54" i="1"/>
  <c r="I43" i="1"/>
  <c r="I86" i="1"/>
  <c r="I176" i="1"/>
  <c r="I165" i="1"/>
  <c r="I166" i="1"/>
  <c r="I48" i="1"/>
  <c r="I61" i="1"/>
  <c r="I74" i="1"/>
  <c r="I87" i="1"/>
  <c r="I147" i="1"/>
  <c r="I125" i="1"/>
  <c r="I79" i="1"/>
  <c r="I158" i="1"/>
  <c r="I94" i="1"/>
  <c r="I96" i="1"/>
  <c r="I170" i="1"/>
  <c r="I159" i="1"/>
  <c r="I137" i="1"/>
  <c r="I91" i="1"/>
  <c r="I45" i="1"/>
  <c r="I106" i="1"/>
  <c r="I108" i="1"/>
  <c r="I88" i="1"/>
  <c r="I149" i="1"/>
  <c r="I103" i="1"/>
  <c r="I57" i="1"/>
  <c r="I47" i="1"/>
  <c r="I120" i="1"/>
  <c r="I90" i="1"/>
  <c r="I44" i="1"/>
  <c r="I83" i="1"/>
  <c r="I136" i="1"/>
  <c r="I102" i="1"/>
  <c r="I56" i="1"/>
  <c r="I135" i="1"/>
  <c r="I113" i="1"/>
  <c r="I67" i="1"/>
  <c r="I116" i="1"/>
  <c r="I82" i="1"/>
  <c r="I84" i="1"/>
  <c r="I146" i="1"/>
  <c r="I100" i="1"/>
  <c r="I66" i="1"/>
  <c r="I115" i="1"/>
  <c r="I69" i="1"/>
  <c r="I59" i="1"/>
  <c r="I132" i="1"/>
  <c r="I112" i="1"/>
  <c r="I78" i="1"/>
  <c r="I127" i="1"/>
  <c r="I81" i="1"/>
  <c r="I71" i="1"/>
  <c r="I73" i="1"/>
  <c r="I124" i="1"/>
  <c r="I93" i="1"/>
  <c r="I85" i="1"/>
  <c r="I105" i="1"/>
  <c r="I95" i="1"/>
  <c r="I97" i="1"/>
  <c r="I148" i="1"/>
  <c r="I114" i="1"/>
  <c r="I68" i="1"/>
  <c r="I98" i="1"/>
  <c r="I107" i="1"/>
  <c r="I109" i="1"/>
  <c r="I72" i="1"/>
  <c r="I101" i="1"/>
  <c r="I60" i="1"/>
  <c r="I89" i="1"/>
  <c r="I119" i="1"/>
  <c r="I77" i="1"/>
  <c r="S5" i="1"/>
  <c r="T5" i="1" s="1"/>
  <c r="S6" i="1"/>
  <c r="T6" i="1" s="1"/>
  <c r="I28" i="1" l="1"/>
  <c r="I32" i="1"/>
  <c r="I24" i="1"/>
  <c r="I5" i="1"/>
  <c r="I9" i="1"/>
  <c r="I36" i="1"/>
  <c r="I17" i="1"/>
  <c r="I21" i="1"/>
  <c r="I13" i="1"/>
  <c r="I29" i="1"/>
  <c r="I33" i="1"/>
  <c r="I25" i="1"/>
  <c r="I6" i="1"/>
  <c r="I2" i="1"/>
  <c r="I37" i="1"/>
  <c r="I4" i="1"/>
  <c r="I11" i="1"/>
  <c r="I23" i="1"/>
  <c r="I14" i="1"/>
  <c r="I26" i="1"/>
  <c r="I27" i="1"/>
  <c r="I34" i="1"/>
  <c r="I16" i="1"/>
  <c r="I18" i="1"/>
  <c r="I35" i="1"/>
  <c r="I30" i="1"/>
  <c r="I12" i="1"/>
  <c r="I7" i="1"/>
  <c r="I19" i="1"/>
  <c r="I31" i="1"/>
  <c r="I38" i="1"/>
  <c r="I10" i="1"/>
  <c r="I22" i="1"/>
  <c r="I3" i="1"/>
  <c r="I15" i="1"/>
  <c r="I8" i="1"/>
  <c r="I20" i="1"/>
  <c r="I243" i="1"/>
  <c r="I182" i="1"/>
  <c r="I210" i="1"/>
  <c r="I259" i="1"/>
  <c r="I177" i="1"/>
  <c r="I214" i="1"/>
  <c r="I263" i="1"/>
  <c r="I217" i="1"/>
  <c r="I255" i="1"/>
  <c r="I185" i="1"/>
  <c r="I222" i="1"/>
  <c r="I271" i="1"/>
  <c r="I189" i="1"/>
  <c r="I226" i="1"/>
  <c r="I180" i="1"/>
  <c r="I229" i="1"/>
  <c r="I267" i="1"/>
  <c r="I197" i="1"/>
  <c r="I234" i="1"/>
  <c r="I206" i="1"/>
  <c r="I201" i="1"/>
  <c r="I238" i="1"/>
  <c r="I192" i="1"/>
  <c r="I241" i="1"/>
  <c r="I266" i="1"/>
  <c r="I209" i="1"/>
  <c r="I246" i="1"/>
  <c r="I188" i="1"/>
  <c r="I213" i="1"/>
  <c r="I250" i="1"/>
  <c r="I204" i="1"/>
  <c r="I253" i="1"/>
  <c r="I184" i="1"/>
  <c r="I221" i="1"/>
  <c r="I258" i="1"/>
  <c r="I200" i="1"/>
  <c r="I225" i="1"/>
  <c r="I262" i="1"/>
  <c r="I216" i="1"/>
  <c r="I265" i="1"/>
  <c r="I268" i="1"/>
  <c r="I223" i="1"/>
  <c r="I261" i="1"/>
  <c r="I228" i="1"/>
  <c r="I183" i="1"/>
  <c r="I235" i="1"/>
  <c r="I240" i="1"/>
  <c r="I219" i="1"/>
  <c r="I224" i="1"/>
  <c r="I181" i="1"/>
  <c r="I231" i="1"/>
  <c r="I236" i="1"/>
  <c r="I193" i="1"/>
  <c r="I256" i="1"/>
  <c r="I211" i="1"/>
  <c r="I249" i="1"/>
  <c r="I251" i="1"/>
  <c r="I233" i="1"/>
  <c r="I254" i="1"/>
  <c r="I195" i="1"/>
  <c r="I245" i="1"/>
  <c r="I247" i="1"/>
  <c r="I178" i="1"/>
  <c r="I252" i="1"/>
  <c r="I207" i="1"/>
  <c r="I257" i="1"/>
  <c r="I212" i="1"/>
  <c r="I190" i="1"/>
  <c r="I264" i="1"/>
  <c r="I269" i="1"/>
  <c r="I202" i="1"/>
  <c r="I230" i="1"/>
  <c r="I179" i="1"/>
  <c r="I196" i="1"/>
  <c r="I186" i="1"/>
  <c r="I248" i="1"/>
  <c r="I191" i="1"/>
  <c r="I205" i="1"/>
  <c r="I208" i="1"/>
  <c r="I198" i="1"/>
  <c r="I260" i="1"/>
  <c r="I203" i="1"/>
  <c r="I272" i="1"/>
  <c r="I242" i="1"/>
  <c r="I237" i="1"/>
  <c r="I215" i="1"/>
  <c r="I227" i="1"/>
  <c r="I239" i="1"/>
  <c r="I220" i="1"/>
  <c r="I194" i="1"/>
  <c r="I232" i="1"/>
  <c r="I218" i="1"/>
  <c r="I244" i="1"/>
  <c r="I270" i="1"/>
  <c r="I187" i="1"/>
  <c r="I199" i="1"/>
  <c r="U4" i="1"/>
  <c r="U6" i="1" l="1"/>
  <c r="U5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<sst xmlns="http://schemas.openxmlformats.org/spreadsheetml/2006/main" count="1159" uniqueCount="113">
  <si>
    <t>QUANTIDADE</t>
  </si>
  <si>
    <t>PRODUTO</t>
  </si>
  <si>
    <t>VALOR PRODUTO</t>
  </si>
  <si>
    <t>700 Mbps</t>
  </si>
  <si>
    <t>CONSULTOR</t>
  </si>
  <si>
    <t>Básica - Fresh</t>
  </si>
  <si>
    <t>Skeelo Promo</t>
  </si>
  <si>
    <t>SMART EMPRESAS 1GB MAS</t>
  </si>
  <si>
    <t>Campanha Renovação - Móvel</t>
  </si>
  <si>
    <t>SMART EMPRESAS 100GB MAS</t>
  </si>
  <si>
    <t>Alta Voz - Base</t>
  </si>
  <si>
    <t>SMART EMPRESAS 6GB MAS</t>
  </si>
  <si>
    <t>SMART EMPRESAS 12GB MAS</t>
  </si>
  <si>
    <t>SMART EMPRESAS 10GB MAS</t>
  </si>
  <si>
    <t>SMART EMPRESAS 20GB MAS</t>
  </si>
  <si>
    <t>SMART EMPRESAS 15GB MAS</t>
  </si>
  <si>
    <t>Office</t>
  </si>
  <si>
    <t>1P</t>
  </si>
  <si>
    <t>Básica PF</t>
  </si>
  <si>
    <t>DUO</t>
  </si>
  <si>
    <t>Básica - Base</t>
  </si>
  <si>
    <t>Apontador Business</t>
  </si>
  <si>
    <t>Básica - Campanha Renovação</t>
  </si>
  <si>
    <t>Ilimitado Brasil  Empresas Especial</t>
  </si>
  <si>
    <t>PACOTE SUPER HD FIBRA</t>
  </si>
  <si>
    <t>Alta Voz - Fresh</t>
  </si>
  <si>
    <t>10GB PARA REDES SOCIAIS</t>
  </si>
  <si>
    <t>Alta Pen / Box</t>
  </si>
  <si>
    <t>SMART EMPRESAS 30GB MAS</t>
  </si>
  <si>
    <t>SMART EMPRESAS 80GB MAS</t>
  </si>
  <si>
    <t>SMART EMPRESAS 3GB MAS</t>
  </si>
  <si>
    <t>SMART EMPRESAS 40GB MAS</t>
  </si>
  <si>
    <t>600 Mbps</t>
  </si>
  <si>
    <t>Vivo Fixo Ilimitado Empresas BRASIL</t>
  </si>
  <si>
    <t>500 Mbps</t>
  </si>
  <si>
    <t>Outros</t>
  </si>
  <si>
    <t>Avançada - Fresh</t>
  </si>
  <si>
    <t>VOZ AVANÇADA VIVO VOZ NEGOCIO</t>
  </si>
  <si>
    <t>Avançada - Base</t>
  </si>
  <si>
    <t>0800 Ilimitado - 4 Chamadas Simultâneas</t>
  </si>
  <si>
    <t>Internet Dedicada 30 Mega</t>
  </si>
  <si>
    <t>CLIENTE 1</t>
  </si>
  <si>
    <t>CLIENTE 2</t>
  </si>
  <si>
    <t>CLIENTE 3</t>
  </si>
  <si>
    <t>CLIENTE 4</t>
  </si>
  <si>
    <t>CLIENTE 5</t>
  </si>
  <si>
    <t>CLIENTE 6</t>
  </si>
  <si>
    <t>CLIENTE 7</t>
  </si>
  <si>
    <t>CLIENTE 8</t>
  </si>
  <si>
    <t>CLIENTE 9</t>
  </si>
  <si>
    <t>CLIENTE 10</t>
  </si>
  <si>
    <t>CLIENTE 11</t>
  </si>
  <si>
    <t>CLIENTE 12</t>
  </si>
  <si>
    <t>CLIENTE 13</t>
  </si>
  <si>
    <t>CLIENTE 14</t>
  </si>
  <si>
    <t>CLIENTE 15</t>
  </si>
  <si>
    <t>CLIENTE 16</t>
  </si>
  <si>
    <t>CLIENTE 17</t>
  </si>
  <si>
    <t>CLIENTE 18</t>
  </si>
  <si>
    <t>CLIENTE 19</t>
  </si>
  <si>
    <t>CLIENTE 20</t>
  </si>
  <si>
    <t>CLIENTE 21</t>
  </si>
  <si>
    <t>CLIENTE 22</t>
  </si>
  <si>
    <t>CLIENTE 23</t>
  </si>
  <si>
    <t>CLIENTE 24</t>
  </si>
  <si>
    <t>CLIENTE 25</t>
  </si>
  <si>
    <t>CLIENTE 26</t>
  </si>
  <si>
    <t>CLIENTE 27</t>
  </si>
  <si>
    <t>CLIENTE 28</t>
  </si>
  <si>
    <t>CLIENTE 29</t>
  </si>
  <si>
    <t>CLIENTE 30</t>
  </si>
  <si>
    <t>CLIENTE 31</t>
  </si>
  <si>
    <t>CLIENTE 32</t>
  </si>
  <si>
    <t>CLIENTE 33</t>
  </si>
  <si>
    <t>CLIENTE 34</t>
  </si>
  <si>
    <t>CLIENTE 35</t>
  </si>
  <si>
    <t>CLIENTE 36</t>
  </si>
  <si>
    <t>CLIENTE 37</t>
  </si>
  <si>
    <t>CLIENTE 38</t>
  </si>
  <si>
    <t>CLIENTE 39</t>
  </si>
  <si>
    <t>CLIENTE 40</t>
  </si>
  <si>
    <t>CLIENTE 41</t>
  </si>
  <si>
    <t>CLIENTE 42</t>
  </si>
  <si>
    <t>CLIENTE 43</t>
  </si>
  <si>
    <t>CLIENTE 44</t>
  </si>
  <si>
    <t>CLIENTE 45</t>
  </si>
  <si>
    <t>CLIENTE 46</t>
  </si>
  <si>
    <t>CLIENTE 47</t>
  </si>
  <si>
    <t>CLIENTE 48</t>
  </si>
  <si>
    <t>CLIENTE 49</t>
  </si>
  <si>
    <t>CLIENTE 50</t>
  </si>
  <si>
    <t>CLIENTE</t>
  </si>
  <si>
    <t>CONSULTOR 3</t>
  </si>
  <si>
    <t>CONSULTOR 1</t>
  </si>
  <si>
    <t>CONSULTOR 2</t>
  </si>
  <si>
    <t>CATEGORIA DO PRODUTO</t>
  </si>
  <si>
    <t>faixa 1</t>
  </si>
  <si>
    <t>faixa 2</t>
  </si>
  <si>
    <t>faixa 3</t>
  </si>
  <si>
    <t>valor total</t>
  </si>
  <si>
    <t>Valor para Meta</t>
  </si>
  <si>
    <t>Consultor</t>
  </si>
  <si>
    <t>Faixa</t>
  </si>
  <si>
    <t>faixa consultor</t>
  </si>
  <si>
    <t>comissão</t>
  </si>
  <si>
    <t>Comissão</t>
  </si>
  <si>
    <t>Rótulos de Linha</t>
  </si>
  <si>
    <t>Total Geral</t>
  </si>
  <si>
    <t>Soma de Total vendas</t>
  </si>
  <si>
    <t>Soma de Comissão</t>
  </si>
  <si>
    <t>Total para meta</t>
  </si>
  <si>
    <t>Soma de QUANTIDADE</t>
  </si>
  <si>
    <t>Soma de valor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</si>
</sst>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164" formatCode="00000000000000"/>
    <numFmt numFmtId="165" formatCode="&quot;R$&quot;\ #,##0.00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8"/>
      <color indexed="9"/>
      <name val="Aptos Narrow"/>
      <family val="2"/>
      <scheme val="minor"/>
    </font>
    <font>
      <b/>
      <sz val="8"/>
      <color theme="0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54"/>
        <bgColor indexed="9"/>
      </patternFill>
    </fill>
    <fill>
      <patternFill patternType="solid">
        <fgColor rgb="FFFF000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5">
    <xf numFmtId="0" fontId="0" fillId="0" borderId="0" xfId="0"/>
    <xf numFmtId="49" fontId="2" fillId="2" borderId="0" xfId="0" applyNumberFormat="1" applyFont="1" applyFill="1" applyAlignment="1">
      <alignment horizontal="center" vertical="center"/>
    </xf>
    <xf numFmtId="164" fontId="2" fillId="2" borderId="0" xfId="0" applyNumberFormat="1" applyFont="1" applyFill="1" applyAlignment="1">
      <alignment horizontal="center" vertical="center"/>
    </xf>
    <xf numFmtId="44" fontId="2" fillId="2" borderId="0" xfId="1" applyFont="1" applyFill="1" applyBorder="1" applyAlignment="1">
      <alignment horizontal="center" vertical="center"/>
    </xf>
    <xf numFmtId="44" fontId="3" fillId="4" borderId="1" xfId="1" applyFont="1" applyFill="1" applyBorder="1" applyAlignment="1">
      <alignment horizontal="center" vertical="center"/>
    </xf>
    <xf numFmtId="44" fontId="3" fillId="3" borderId="1" xfId="1" applyFont="1" applyFill="1" applyBorder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164" fontId="4" fillId="5" borderId="0" xfId="0" applyNumberFormat="1" applyFont="1" applyFill="1" applyAlignment="1">
      <alignment horizontal="center" vertical="center"/>
    </xf>
    <xf numFmtId="44" fontId="4" fillId="5" borderId="0" xfId="1" applyFont="1" applyFill="1" applyAlignment="1">
      <alignment horizontal="center" vertical="center"/>
    </xf>
    <xf numFmtId="9" fontId="0" fillId="0" borderId="0" xfId="0" applyNumberFormat="1"/>
    <xf numFmtId="2" fontId="0" fillId="0" borderId="0" xfId="0" applyNumberFormat="1"/>
    <xf numFmtId="165" fontId="0" fillId="0" borderId="0" xfId="0" applyNumberFormat="1"/>
    <xf numFmtId="4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sheetMetadata" Target="metadata.xml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[versao final igor.xlsx]VENDAS!Tabela dinâmica2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VENDAS!$B$1</c:f>
              <c:strCache>
                <c:ptCount val="1"/>
                <c:pt idx="0">
                  <c:v>Soma de Total vendas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VENDAS!$A$2:$A$5</c:f>
              <c:strCache>
                <c:ptCount val="3"/>
                <c:pt idx="0">
                  <c:v>CONSULTOR 1</c:v>
                </c:pt>
                <c:pt idx="1">
                  <c:v>CONSULTOR 2</c:v>
                </c:pt>
                <c:pt idx="2">
                  <c:v>CONSULTOR 3</c:v>
                </c:pt>
              </c:strCache>
            </c:strRef>
          </c:cat>
          <c:val>
            <c:numRef>
              <c:f>VENDAS!$B$2:$B$5</c:f>
              <c:numCache>
                <c:formatCode>General</c:formatCode>
                <c:ptCount val="3"/>
                <c:pt idx="0">
                  <c:v>2964.7599999999979</c:v>
                </c:pt>
                <c:pt idx="1">
                  <c:v>4063.7299999999996</c:v>
                </c:pt>
                <c:pt idx="2">
                  <c:v>1374.92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E3-4EC8-BC31-E54BD35ECF95}"/>
            </c:ext>
          </c:extLst>
        </c:ser>
        <c:ser>
          <c:idx val="1"/>
          <c:order val="1"/>
          <c:tx>
            <c:strRef>
              <c:f>VENDAS!$C$1</c:f>
              <c:strCache>
                <c:ptCount val="1"/>
                <c:pt idx="0">
                  <c:v>Soma de Comissão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VENDAS!$A$2:$A$5</c:f>
              <c:strCache>
                <c:ptCount val="3"/>
                <c:pt idx="0">
                  <c:v>CONSULTOR 1</c:v>
                </c:pt>
                <c:pt idx="1">
                  <c:v>CONSULTOR 2</c:v>
                </c:pt>
                <c:pt idx="2">
                  <c:v>CONSULTOR 3</c:v>
                </c:pt>
              </c:strCache>
            </c:strRef>
          </c:cat>
          <c:val>
            <c:numRef>
              <c:f>VENDAS!$C$2:$C$5</c:f>
              <c:numCache>
                <c:formatCode>"R$"\ #,##0.00</c:formatCode>
                <c:ptCount val="3"/>
                <c:pt idx="0">
                  <c:v>2973.7519999999981</c:v>
                </c:pt>
                <c:pt idx="1">
                  <c:v>6270.5999999999985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1E3-4EC8-BC31-E54BD35ECF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619194335"/>
        <c:axId val="619003119"/>
      </c:barChart>
      <c:catAx>
        <c:axId val="6191943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9003119"/>
        <c:crosses val="autoZero"/>
        <c:auto val="1"/>
        <c:lblAlgn val="ctr"/>
        <c:lblOffset val="100"/>
        <c:noMultiLvlLbl val="0"/>
      </c:catAx>
      <c:valAx>
        <c:axId val="619003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$&quot;\ 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91943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[versao final igor.xlsx]QUANTIDADE PRODUTOS!Tabela dinâmica5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'QUANTIDADE PRODUTOS'!$B$1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'QUANTIDADE PRODUTOS'!$A$2:$A$13</c:f>
              <c:strCache>
                <c:ptCount val="11"/>
                <c:pt idx="0">
                  <c:v>Avançada - Base</c:v>
                </c:pt>
                <c:pt idx="1">
                  <c:v>Alta Voz - Fresh</c:v>
                </c:pt>
                <c:pt idx="2">
                  <c:v>Office</c:v>
                </c:pt>
                <c:pt idx="3">
                  <c:v>Avançada - Fresh</c:v>
                </c:pt>
                <c:pt idx="4">
                  <c:v>Básica - Base</c:v>
                </c:pt>
                <c:pt idx="5">
                  <c:v>Básica - Campanha Renovação</c:v>
                </c:pt>
                <c:pt idx="6">
                  <c:v>Alta Pen / Box</c:v>
                </c:pt>
                <c:pt idx="7">
                  <c:v>Básica PF</c:v>
                </c:pt>
                <c:pt idx="8">
                  <c:v>Básica - Fresh</c:v>
                </c:pt>
                <c:pt idx="9">
                  <c:v>Alta Voz - Base</c:v>
                </c:pt>
                <c:pt idx="10">
                  <c:v>Campanha Renovação - Móvel</c:v>
                </c:pt>
              </c:strCache>
            </c:strRef>
          </c:cat>
          <c:val>
            <c:numRef>
              <c:f>'QUANTIDADE PRODUTOS'!$B$2:$B$13</c:f>
              <c:numCache>
                <c:formatCode>General</c:formatCode>
                <c:ptCount val="11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4</c:v>
                </c:pt>
                <c:pt idx="6">
                  <c:v>10</c:v>
                </c:pt>
                <c:pt idx="7">
                  <c:v>11</c:v>
                </c:pt>
                <c:pt idx="8">
                  <c:v>13</c:v>
                </c:pt>
                <c:pt idx="9">
                  <c:v>50</c:v>
                </c:pt>
                <c:pt idx="10">
                  <c:v>172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D8-456F-A002-497A982AEB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923667247"/>
        <c:axId val="619058319"/>
      </c:barChart>
      <c:catAx>
        <c:axId val="92366724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9058319"/>
        <c:crosses val="autoZero"/>
        <c:auto val="1"/>
        <c:lblAlgn val="ctr"/>
        <c:lblOffset val="100"/>
        <c:noMultiLvlLbl val="0"/>
      </c:catAx>
      <c:valAx>
        <c:axId val="6190583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6672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[versao final igor.xlsx]VENDAS PRODUTOS!Tabela dinâmica7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'VENDAS PRODUTOS'!$B$1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'VENDAS PRODUTOS'!$A$2:$A$13</c:f>
              <c:strCache>
                <c:ptCount val="11"/>
                <c:pt idx="0">
                  <c:v>Office</c:v>
                </c:pt>
                <c:pt idx="1">
                  <c:v>Alta Voz - Fresh</c:v>
                </c:pt>
                <c:pt idx="2">
                  <c:v>Alta Pen / Box</c:v>
                </c:pt>
                <c:pt idx="3">
                  <c:v>Básica - Campanha Renovação</c:v>
                </c:pt>
                <c:pt idx="4">
                  <c:v>Básica - Base</c:v>
                </c:pt>
                <c:pt idx="5">
                  <c:v>Avançada - Base</c:v>
                </c:pt>
                <c:pt idx="6">
                  <c:v>Básica - Fresh</c:v>
                </c:pt>
                <c:pt idx="7">
                  <c:v>Básica PF</c:v>
                </c:pt>
                <c:pt idx="8">
                  <c:v>Avançada - Fresh</c:v>
                </c:pt>
                <c:pt idx="9">
                  <c:v>Alta Voz - Base</c:v>
                </c:pt>
                <c:pt idx="10">
                  <c:v>Campanha Renovação - Móvel</c:v>
                </c:pt>
              </c:strCache>
            </c:strRef>
          </c:cat>
          <c:val>
            <c:numRef>
              <c:f>'VENDAS PRODUTOS'!$B$2:$B$13</c:f>
              <c:numCache>
                <c:formatCode>_("R$"* #,##0.00_);_("R$"* \(#,##0.00\);_("R$"* "-"??_);_(@_)</c:formatCode>
                <c:ptCount val="11"/>
                <c:pt idx="0">
                  <c:v>20</c:v>
                </c:pt>
                <c:pt idx="1">
                  <c:v>39.99</c:v>
                </c:pt>
                <c:pt idx="2">
                  <c:v>100</c:v>
                </c:pt>
                <c:pt idx="3">
                  <c:v>129.99</c:v>
                </c:pt>
                <c:pt idx="4">
                  <c:v>189.98</c:v>
                </c:pt>
                <c:pt idx="5">
                  <c:v>200</c:v>
                </c:pt>
                <c:pt idx="6">
                  <c:v>674.93999999999994</c:v>
                </c:pt>
                <c:pt idx="7">
                  <c:v>1270</c:v>
                </c:pt>
                <c:pt idx="8">
                  <c:v>1479</c:v>
                </c:pt>
                <c:pt idx="9">
                  <c:v>3344.499999999995</c:v>
                </c:pt>
                <c:pt idx="10">
                  <c:v>6173.2799999999752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94-4E90-8AB2-DCADAC68AE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516620831"/>
        <c:axId val="618955599"/>
      </c:barChart>
      <c:catAx>
        <c:axId val="5166208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8955599"/>
        <c:crosses val="autoZero"/>
        <c:auto val="1"/>
        <c:lblAlgn val="ctr"/>
        <c:lblOffset val="100"/>
        <c:noMultiLvlLbl val="0"/>
      </c:catAx>
      <c:valAx>
        <c:axId val="6189555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$&quot;\ 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66208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11</xdr:col>
      <xdr:colOff>304800</xdr:colOff>
      <xdr:row>16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F144DCB-6EC0-8D8F-FCFF-A13EDC8765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13</xdr:col>
      <xdr:colOff>114300</xdr:colOff>
      <xdr:row>17</xdr:row>
      <xdr:rowOff>167640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974915F-D0D5-1041-E0A3-7FCDF3AF22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17</xdr:col>
      <xdr:colOff>190500</xdr:colOff>
      <xdr:row>17</xdr:row>
      <xdr:rowOff>22860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62EA158-BD6C-5CA7-853F-1FE790D8AB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gor mota gonçalves" refreshedDate="46217.593384953703" createdVersion="8" refreshedVersion="8" minRefreshableVersion="3" recordCount="3" xr:uid="{6E37BB17-DE12-436A-87A0-E6D3C0B1D925}">
  <cacheSource type="worksheet">
    <worksheetSource ref="R3:U6" sheet="Planilha 1"/>
  </cacheSource>
  <cacheFields count="4">
    <cacheField name="Consultor" numFmtId="0">
      <sharedItems count="3">
        <s v="CONSULTOR 1"/>
        <s v="CONSULTOR 2"/>
        <s v="CONSULTOR 3"/>
      </sharedItems>
    </cacheField>
    <cacheField name="Total vendas" numFmtId="0">
      <sharedItems containsSemiMixedTypes="0" containsString="0" containsNumber="1" minValue="1374.92" maxValue="4063.7299999999996"/>
    </cacheField>
    <cacheField name="Faixa" numFmtId="0">
      <sharedItems containsSemiMixedTypes="0" containsString="0" containsNumber="1" containsInteger="1" minValue="1" maxValue="3"/>
    </cacheField>
    <cacheField name="Comissão" numFmtId="165">
      <sharedItems containsSemiMixedTypes="0" containsString="0" containsNumber="1" minValue="0" maxValue="6270.599999999998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gor mota gonçalves" refreshedDate="46217.595821990741" createdVersion="8" refreshedVersion="8" minRefreshableVersion="3" recordCount="271" xr:uid="{497D0D62-1B0A-4C42-83F2-2BBF791E4E69}">
  <cacheSource type="worksheet">
    <worksheetSource ref="B1:E272" sheet="Planilha 1"/>
  </cacheSource>
  <cacheFields count="4">
    <cacheField name="CATEGORIA DO PRODUTO" numFmtId="0">
      <sharedItems count="11">
        <s v="Básica - Fresh"/>
        <s v="Campanha Renovação - Móvel"/>
        <s v="Alta Voz - Base"/>
        <s v="Office"/>
        <s v="Básica PF"/>
        <s v="Básica - Base"/>
        <s v="Básica - Campanha Renovação"/>
        <s v="Alta Voz - Fresh"/>
        <s v="Alta Pen / Box"/>
        <s v="Avançada - Fresh"/>
        <s v="Avançada - Base"/>
      </sharedItems>
    </cacheField>
    <cacheField name="PRODUTO" numFmtId="0">
      <sharedItems containsBlank="1"/>
    </cacheField>
    <cacheField name="QUANTIDADE" numFmtId="0">
      <sharedItems containsSemiMixedTypes="0" containsString="0" containsNumber="1" containsInteger="1" minValue="1" maxValue="1"/>
    </cacheField>
    <cacheField name="VALOR PRODUTO" numFmtId="44">
      <sharedItems containsSemiMixedTypes="0" containsString="0" containsNumber="1" minValue="9" maxValue="5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gor mota gonçalves" refreshedDate="46217.607273148147" createdVersion="8" refreshedVersion="8" minRefreshableVersion="3" recordCount="271" xr:uid="{6772F918-63B2-4C42-B29B-4EB9F504B1CE}">
  <cacheSource type="worksheet">
    <worksheetSource ref="B1:G272" sheet="Planilha 1"/>
  </cacheSource>
  <cacheFields count="6">
    <cacheField name="CATEGORIA DO PRODUTO" numFmtId="0">
      <sharedItems count="11">
        <s v="Básica - Fresh"/>
        <s v="Campanha Renovação - Móvel"/>
        <s v="Alta Voz - Base"/>
        <s v="Office"/>
        <s v="Básica PF"/>
        <s v="Básica - Base"/>
        <s v="Básica - Campanha Renovação"/>
        <s v="Alta Voz - Fresh"/>
        <s v="Alta Pen / Box"/>
        <s v="Avançada - Fresh"/>
        <s v="Avançada - Base"/>
      </sharedItems>
    </cacheField>
    <cacheField name="PRODUTO" numFmtId="0">
      <sharedItems containsBlank="1"/>
    </cacheField>
    <cacheField name="QUANTIDADE" numFmtId="0">
      <sharedItems containsSemiMixedTypes="0" containsString="0" containsNumber="1" containsInteger="1" minValue="1" maxValue="1"/>
    </cacheField>
    <cacheField name="VALOR PRODUTO" numFmtId="44">
      <sharedItems containsSemiMixedTypes="0" containsString="0" containsNumber="1" minValue="9" maxValue="500"/>
    </cacheField>
    <cacheField name="CONSULTOR" numFmtId="0">
      <sharedItems/>
    </cacheField>
    <cacheField name="valor total" numFmtId="44">
      <sharedItems containsSemiMixedTypes="0" containsString="0" containsNumber="1" minValue="9" maxValue="5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x v="0"/>
    <n v="2964.7599999999979"/>
    <n v="2"/>
    <n v="2973.7519999999981"/>
  </r>
  <r>
    <x v="1"/>
    <n v="4063.7299999999996"/>
    <n v="3"/>
    <n v="6270.5999999999985"/>
  </r>
  <r>
    <x v="2"/>
    <n v="1374.92"/>
    <n v="1"/>
    <n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1">
  <r>
    <x v="0"/>
    <s v="700 Mbps"/>
    <n v="1"/>
    <n v="73.989999999999995"/>
  </r>
  <r>
    <x v="0"/>
    <s v="Skeelo Promo"/>
    <n v="1"/>
    <n v="26"/>
  </r>
  <r>
    <x v="1"/>
    <s v="SMART EMPRESAS 1GB MAS"/>
    <n v="1"/>
    <n v="29.99"/>
  </r>
  <r>
    <x v="2"/>
    <s v="SMART EMPRESAS 100GB MAS"/>
    <n v="1"/>
    <n v="99.99"/>
  </r>
  <r>
    <x v="2"/>
    <s v="SMART EMPRESAS 6GB MAS"/>
    <n v="1"/>
    <n v="39.99"/>
  </r>
  <r>
    <x v="1"/>
    <s v="SMART EMPRESAS 1GB MAS"/>
    <n v="1"/>
    <n v="29.99"/>
  </r>
  <r>
    <x v="1"/>
    <s v="SMART EMPRESAS 1GB MAS"/>
    <n v="1"/>
    <n v="29.99"/>
  </r>
  <r>
    <x v="1"/>
    <s v="SMART EMPRESAS 1GB MAS"/>
    <n v="1"/>
    <n v="29.99"/>
  </r>
  <r>
    <x v="1"/>
    <s v="SMART EMPRESAS 1GB MAS"/>
    <n v="1"/>
    <n v="29.99"/>
  </r>
  <r>
    <x v="2"/>
    <s v="SMART EMPRESAS 6GB MAS"/>
    <n v="1"/>
    <n v="39.99"/>
  </r>
  <r>
    <x v="1"/>
    <s v="SMART EMPRESAS 1GB MAS"/>
    <n v="1"/>
    <n v="29.99"/>
  </r>
  <r>
    <x v="1"/>
    <s v="SMART EMPRESAS 6GB MAS"/>
    <n v="1"/>
    <n v="39.99"/>
  </r>
  <r>
    <x v="1"/>
    <s v="SMART EMPRESAS 1GB MAS"/>
    <n v="1"/>
    <n v="29.99"/>
  </r>
  <r>
    <x v="2"/>
    <s v="SMART EMPRESAS 100GB MAS"/>
    <n v="1"/>
    <n v="99.99"/>
  </r>
  <r>
    <x v="2"/>
    <s v="SMART EMPRESAS 6GB MAS"/>
    <n v="1"/>
    <n v="39.99"/>
  </r>
  <r>
    <x v="2"/>
    <s v="SMART EMPRESAS 100GB MAS"/>
    <n v="1"/>
    <n v="99.99"/>
  </r>
  <r>
    <x v="1"/>
    <s v="SMART EMPRESAS 1GB MAS"/>
    <n v="1"/>
    <n v="29.99"/>
  </r>
  <r>
    <x v="1"/>
    <s v="SMART EMPRESAS 20GB MAS"/>
    <n v="1"/>
    <n v="59.99"/>
  </r>
  <r>
    <x v="1"/>
    <s v="SMART EMPRESAS 1GB MAS"/>
    <n v="1"/>
    <n v="29.99"/>
  </r>
  <r>
    <x v="1"/>
    <s v="SMART EMPRESAS 15GB MAS"/>
    <n v="1"/>
    <n v="54.99"/>
  </r>
  <r>
    <x v="1"/>
    <s v="SMART EMPRESAS 12GB MAS"/>
    <n v="1"/>
    <n v="49.99"/>
  </r>
  <r>
    <x v="1"/>
    <s v="SMART EMPRESAS 1GB MAS"/>
    <n v="1"/>
    <n v="29.99"/>
  </r>
  <r>
    <x v="1"/>
    <s v="SMART EMPRESAS 1GB MAS"/>
    <n v="1"/>
    <n v="29.99"/>
  </r>
  <r>
    <x v="1"/>
    <s v="SMART EMPRESAS 1GB MAS"/>
    <n v="1"/>
    <n v="29.99"/>
  </r>
  <r>
    <x v="3"/>
    <m/>
    <n v="1"/>
    <n v="10"/>
  </r>
  <r>
    <x v="4"/>
    <s v="1P"/>
    <n v="1"/>
    <n v="100"/>
  </r>
  <r>
    <x v="4"/>
    <s v="1P"/>
    <n v="1"/>
    <n v="100"/>
  </r>
  <r>
    <x v="4"/>
    <s v="DUO"/>
    <n v="1"/>
    <n v="270"/>
  </r>
  <r>
    <x v="4"/>
    <s v="1P"/>
    <n v="1"/>
    <n v="100"/>
  </r>
  <r>
    <x v="4"/>
    <s v="1P"/>
    <n v="1"/>
    <n v="100"/>
  </r>
  <r>
    <x v="4"/>
    <s v="1P"/>
    <n v="1"/>
    <n v="100"/>
  </r>
  <r>
    <x v="4"/>
    <s v="1P"/>
    <n v="1"/>
    <n v="100"/>
  </r>
  <r>
    <x v="4"/>
    <s v="1P"/>
    <n v="1"/>
    <n v="100"/>
  </r>
  <r>
    <x v="4"/>
    <s v="1P"/>
    <n v="1"/>
    <n v="100"/>
  </r>
  <r>
    <x v="4"/>
    <s v="1P"/>
    <n v="1"/>
    <n v="100"/>
  </r>
  <r>
    <x v="5"/>
    <s v="700 Mbps"/>
    <n v="1"/>
    <n v="73.989999999999995"/>
  </r>
  <r>
    <x v="5"/>
    <s v="Skeelo Promo"/>
    <n v="1"/>
    <n v="26"/>
  </r>
  <r>
    <x v="6"/>
    <s v="Apontador Business"/>
    <n v="1"/>
    <n v="9"/>
  </r>
  <r>
    <x v="6"/>
    <s v="Ilimitado Brasil  Empresas Especial"/>
    <n v="1"/>
    <n v="21"/>
  </r>
  <r>
    <x v="6"/>
    <s v="700 Mbps"/>
    <n v="1"/>
    <n v="73.989999999999995"/>
  </r>
  <r>
    <x v="6"/>
    <s v="Skeelo Promo"/>
    <n v="1"/>
    <n v="26"/>
  </r>
  <r>
    <x v="0"/>
    <s v="700 Mbps"/>
    <n v="1"/>
    <n v="73.989999999999995"/>
  </r>
  <r>
    <x v="0"/>
    <s v="Skeelo Promo"/>
    <n v="1"/>
    <n v="26"/>
  </r>
  <r>
    <x v="0"/>
    <s v="PACOTE SUPER HD FIBRA"/>
    <n v="1"/>
    <n v="124.99"/>
  </r>
  <r>
    <x v="2"/>
    <s v="SMART EMPRESAS 100GB MAS"/>
    <n v="1"/>
    <n v="99.99"/>
  </r>
  <r>
    <x v="7"/>
    <s v="SMART EMPRESAS 6GB MAS"/>
    <n v="1"/>
    <n v="39.99"/>
  </r>
  <r>
    <x v="8"/>
    <s v="10GB PARA REDES SOCIAIS"/>
    <n v="1"/>
    <n v="10"/>
  </r>
  <r>
    <x v="1"/>
    <s v="SMART EMPRESAS 100GB MAS"/>
    <n v="1"/>
    <n v="99.99"/>
  </r>
  <r>
    <x v="8"/>
    <s v="10GB PARA REDES SOCIAIS"/>
    <n v="1"/>
    <n v="10"/>
  </r>
  <r>
    <x v="1"/>
    <s v="SMART EMPRESAS 1GB MAS"/>
    <n v="1"/>
    <n v="29.99"/>
  </r>
  <r>
    <x v="1"/>
    <s v="SMART EMPRESAS 1GB MAS"/>
    <n v="1"/>
    <n v="29.99"/>
  </r>
  <r>
    <x v="1"/>
    <s v="SMART EMPRESAS 1GB MAS"/>
    <n v="1"/>
    <n v="29.99"/>
  </r>
  <r>
    <x v="1"/>
    <s v="SMART EMPRESAS 1GB MAS"/>
    <n v="1"/>
    <n v="29.99"/>
  </r>
  <r>
    <x v="1"/>
    <s v="SMART EMPRESAS 10GB MAS"/>
    <n v="1"/>
    <n v="44.99"/>
  </r>
  <r>
    <x v="1"/>
    <s v="SMART EMPRESAS 100GB MAS"/>
    <n v="1"/>
    <n v="99.99"/>
  </r>
  <r>
    <x v="2"/>
    <s v="SMART EMPRESAS 100GB MAS"/>
    <n v="1"/>
    <n v="99.99"/>
  </r>
  <r>
    <x v="1"/>
    <s v="SMART EMPRESAS 1GB MAS"/>
    <n v="1"/>
    <n v="29.99"/>
  </r>
  <r>
    <x v="1"/>
    <s v="SMART EMPRESAS 1GB MAS"/>
    <n v="1"/>
    <n v="29.99"/>
  </r>
  <r>
    <x v="1"/>
    <s v="SMART EMPRESAS 1GB MAS"/>
    <n v="1"/>
    <n v="29.99"/>
  </r>
  <r>
    <x v="1"/>
    <s v="SMART EMPRESAS 1GB MAS"/>
    <n v="1"/>
    <n v="29.99"/>
  </r>
  <r>
    <x v="1"/>
    <s v="SMART EMPRESAS 6GB MAS"/>
    <n v="1"/>
    <n v="39.99"/>
  </r>
  <r>
    <x v="8"/>
    <s v="10GB PARA REDES SOCIAIS"/>
    <n v="1"/>
    <n v="10"/>
  </r>
  <r>
    <x v="1"/>
    <s v="SMART EMPRESAS 1GB MAS"/>
    <n v="1"/>
    <n v="29.99"/>
  </r>
  <r>
    <x v="1"/>
    <s v="SMART EMPRESAS 30GB MAS"/>
    <n v="1"/>
    <n v="69.989999999999995"/>
  </r>
  <r>
    <x v="8"/>
    <s v="10GB PARA REDES SOCIAIS"/>
    <n v="1"/>
    <n v="10"/>
  </r>
  <r>
    <x v="1"/>
    <s v="SMART EMPRESAS 1GB MAS"/>
    <n v="1"/>
    <n v="29.99"/>
  </r>
  <r>
    <x v="1"/>
    <s v="SMART EMPRESAS 1GB MAS"/>
    <n v="1"/>
    <n v="29.99"/>
  </r>
  <r>
    <x v="1"/>
    <s v="SMART EMPRESAS 1GB MAS"/>
    <n v="1"/>
    <n v="29.99"/>
  </r>
  <r>
    <x v="1"/>
    <s v="SMART EMPRESAS 1GB MAS"/>
    <n v="1"/>
    <n v="29.99"/>
  </r>
  <r>
    <x v="1"/>
    <s v="SMART EMPRESAS 100GB MAS"/>
    <n v="1"/>
    <n v="99.99"/>
  </r>
  <r>
    <x v="8"/>
    <s v="10GB PARA REDES SOCIAIS"/>
    <n v="1"/>
    <n v="10"/>
  </r>
  <r>
    <x v="1"/>
    <s v="SMART EMPRESAS 12GB MAS"/>
    <n v="1"/>
    <n v="49.99"/>
  </r>
  <r>
    <x v="1"/>
    <s v="SMART EMPRESAS 1GB MAS"/>
    <n v="1"/>
    <n v="29.99"/>
  </r>
  <r>
    <x v="1"/>
    <s v="SMART EMPRESAS 1GB MAS"/>
    <n v="1"/>
    <n v="29.99"/>
  </r>
  <r>
    <x v="2"/>
    <s v="SMART EMPRESAS 100GB MAS"/>
    <n v="1"/>
    <n v="99.99"/>
  </r>
  <r>
    <x v="2"/>
    <s v="SMART EMPRESAS 100GB MAS"/>
    <n v="1"/>
    <n v="99.99"/>
  </r>
  <r>
    <x v="2"/>
    <s v="SMART EMPRESAS 100GB MAS"/>
    <n v="1"/>
    <n v="99.99"/>
  </r>
  <r>
    <x v="1"/>
    <s v="SMART EMPRESAS 1GB MAS"/>
    <n v="1"/>
    <n v="29.99"/>
  </r>
  <r>
    <x v="1"/>
    <s v="SMART EMPRESAS 1GB MAS"/>
    <n v="1"/>
    <n v="29.99"/>
  </r>
  <r>
    <x v="1"/>
    <s v="SMART EMPRESAS 1GB MAS"/>
    <n v="1"/>
    <n v="29.99"/>
  </r>
  <r>
    <x v="1"/>
    <s v="SMART EMPRESAS 1GB MAS"/>
    <n v="1"/>
    <n v="29.99"/>
  </r>
  <r>
    <x v="1"/>
    <s v="SMART EMPRESAS 1GB MAS"/>
    <n v="1"/>
    <n v="29.99"/>
  </r>
  <r>
    <x v="1"/>
    <s v="SMART EMPRESAS 1GB MAS"/>
    <n v="1"/>
    <n v="29.99"/>
  </r>
  <r>
    <x v="1"/>
    <s v="SMART EMPRESAS 1GB MAS"/>
    <n v="1"/>
    <n v="29.99"/>
  </r>
  <r>
    <x v="1"/>
    <s v="SMART EMPRESAS 1GB MAS"/>
    <n v="1"/>
    <n v="29.99"/>
  </r>
  <r>
    <x v="1"/>
    <s v="SMART EMPRESAS 1GB MAS"/>
    <n v="1"/>
    <n v="29.99"/>
  </r>
  <r>
    <x v="1"/>
    <s v="SMART EMPRESAS 1GB MAS"/>
    <n v="1"/>
    <n v="29.99"/>
  </r>
  <r>
    <x v="1"/>
    <s v="SMART EMPRESAS 1GB MAS"/>
    <n v="1"/>
    <n v="29.99"/>
  </r>
  <r>
    <x v="1"/>
    <s v="SMART EMPRESAS 1GB MAS"/>
    <n v="1"/>
    <n v="29.99"/>
  </r>
  <r>
    <x v="1"/>
    <s v="SMART EMPRESAS 1GB MAS"/>
    <n v="1"/>
    <n v="29.99"/>
  </r>
  <r>
    <x v="1"/>
    <s v="SMART EMPRESAS 1GB MAS"/>
    <n v="1"/>
    <n v="29.99"/>
  </r>
  <r>
    <x v="1"/>
    <s v="SMART EMPRESAS 1GB MAS"/>
    <n v="1"/>
    <n v="29.99"/>
  </r>
  <r>
    <x v="1"/>
    <s v="SMART EMPRESAS 1GB MAS"/>
    <n v="1"/>
    <n v="29.99"/>
  </r>
  <r>
    <x v="1"/>
    <s v="SMART EMPRESAS 1GB MAS"/>
    <n v="1"/>
    <n v="29.99"/>
  </r>
  <r>
    <x v="1"/>
    <s v="SMART EMPRESAS 1GB MAS"/>
    <n v="1"/>
    <n v="29.99"/>
  </r>
  <r>
    <x v="1"/>
    <s v="SMART EMPRESAS 1GB MAS"/>
    <n v="1"/>
    <n v="29.99"/>
  </r>
  <r>
    <x v="1"/>
    <s v="SMART EMPRESAS 1GB MAS"/>
    <n v="1"/>
    <n v="29.99"/>
  </r>
  <r>
    <x v="1"/>
    <s v="SMART EMPRESAS 1GB MAS"/>
    <n v="1"/>
    <n v="29.99"/>
  </r>
  <r>
    <x v="1"/>
    <s v="SMART EMPRESAS 1GB MAS"/>
    <n v="1"/>
    <n v="29.99"/>
  </r>
  <r>
    <x v="1"/>
    <s v="SMART EMPRESAS 1GB MAS"/>
    <n v="1"/>
    <n v="29.99"/>
  </r>
  <r>
    <x v="1"/>
    <s v="SMART EMPRESAS 1GB MAS"/>
    <n v="1"/>
    <n v="29.99"/>
  </r>
  <r>
    <x v="1"/>
    <s v="SMART EMPRESAS 1GB MAS"/>
    <n v="1"/>
    <n v="29.99"/>
  </r>
  <r>
    <x v="1"/>
    <s v="SMART EMPRESAS 1GB MAS"/>
    <n v="1"/>
    <n v="29.99"/>
  </r>
  <r>
    <x v="1"/>
    <s v="SMART EMPRESAS 1GB MAS"/>
    <n v="1"/>
    <n v="29.99"/>
  </r>
  <r>
    <x v="1"/>
    <s v="SMART EMPRESAS 1GB MAS"/>
    <n v="1"/>
    <n v="29.99"/>
  </r>
  <r>
    <x v="1"/>
    <s v="SMART EMPRESAS 1GB MAS"/>
    <n v="1"/>
    <n v="29.99"/>
  </r>
  <r>
    <x v="1"/>
    <s v="SMART EMPRESAS 1GB MAS"/>
    <n v="1"/>
    <n v="29.99"/>
  </r>
  <r>
    <x v="1"/>
    <s v="SMART EMPRESAS 1GB MAS"/>
    <n v="1"/>
    <n v="29.99"/>
  </r>
  <r>
    <x v="1"/>
    <s v="SMART EMPRESAS 1GB MAS"/>
    <n v="1"/>
    <n v="29.99"/>
  </r>
  <r>
    <x v="1"/>
    <s v="SMART EMPRESAS 1GB MAS"/>
    <n v="1"/>
    <n v="29.99"/>
  </r>
  <r>
    <x v="1"/>
    <s v="SMART EMPRESAS 1GB MAS"/>
    <n v="1"/>
    <n v="29.99"/>
  </r>
  <r>
    <x v="1"/>
    <s v="SMART EMPRESAS 1GB MAS"/>
    <n v="1"/>
    <n v="29.99"/>
  </r>
  <r>
    <x v="1"/>
    <s v="SMART EMPRESAS 1GB MAS"/>
    <n v="1"/>
    <n v="29.99"/>
  </r>
  <r>
    <x v="1"/>
    <s v="SMART EMPRESAS 1GB MAS"/>
    <n v="1"/>
    <n v="29.99"/>
  </r>
  <r>
    <x v="1"/>
    <s v="SMART EMPRESAS 100GB MAS"/>
    <n v="1"/>
    <n v="99.99"/>
  </r>
  <r>
    <x v="1"/>
    <s v="SMART EMPRESAS 1GB MAS"/>
    <n v="1"/>
    <n v="29.99"/>
  </r>
  <r>
    <x v="1"/>
    <s v="SMART EMPRESAS 80GB MAS"/>
    <n v="1"/>
    <n v="94.99"/>
  </r>
  <r>
    <x v="1"/>
    <s v="SMART EMPRESAS 1GB MAS"/>
    <n v="1"/>
    <n v="29.99"/>
  </r>
  <r>
    <x v="1"/>
    <s v="SMART EMPRESAS 10GB MAS"/>
    <n v="1"/>
    <n v="44.99"/>
  </r>
  <r>
    <x v="1"/>
    <s v="SMART EMPRESAS 1GB MAS"/>
    <n v="1"/>
    <n v="29.99"/>
  </r>
  <r>
    <x v="2"/>
    <s v="SMART EMPRESAS 100GB MAS"/>
    <n v="1"/>
    <n v="99.99"/>
  </r>
  <r>
    <x v="1"/>
    <s v="SMART EMPRESAS 1GB MAS"/>
    <n v="1"/>
    <n v="29.99"/>
  </r>
  <r>
    <x v="1"/>
    <s v="SMART EMPRESAS 1GB MAS"/>
    <n v="1"/>
    <n v="29.99"/>
  </r>
  <r>
    <x v="1"/>
    <s v="SMART EMPRESAS 3GB MAS"/>
    <n v="1"/>
    <n v="34.99"/>
  </r>
  <r>
    <x v="1"/>
    <s v="SMART EMPRESAS 1GB MAS"/>
    <n v="1"/>
    <n v="29.99"/>
  </r>
  <r>
    <x v="1"/>
    <s v="SMART EMPRESAS 1GB MAS"/>
    <n v="1"/>
    <n v="29.99"/>
  </r>
  <r>
    <x v="2"/>
    <s v="SMART EMPRESAS 6GB MAS"/>
    <n v="1"/>
    <n v="39.99"/>
  </r>
  <r>
    <x v="1"/>
    <s v="SMART EMPRESAS 1GB MAS"/>
    <n v="1"/>
    <n v="29.99"/>
  </r>
  <r>
    <x v="1"/>
    <s v="SMART EMPRESAS 1GB MAS"/>
    <n v="1"/>
    <n v="29.99"/>
  </r>
  <r>
    <x v="1"/>
    <s v="SMART EMPRESAS 1GB MAS"/>
    <n v="1"/>
    <n v="29.99"/>
  </r>
  <r>
    <x v="1"/>
    <s v="SMART EMPRESAS 1GB MAS"/>
    <n v="1"/>
    <n v="29.99"/>
  </r>
  <r>
    <x v="8"/>
    <s v="10GB PARA REDES SOCIAIS"/>
    <n v="1"/>
    <n v="10"/>
  </r>
  <r>
    <x v="1"/>
    <s v="SMART EMPRESAS 1GB MAS"/>
    <n v="1"/>
    <n v="29.99"/>
  </r>
  <r>
    <x v="1"/>
    <s v="SMART EMPRESAS 1GB MAS"/>
    <n v="1"/>
    <n v="29.99"/>
  </r>
  <r>
    <x v="1"/>
    <s v="SMART EMPRESAS 1GB MAS"/>
    <n v="1"/>
    <n v="29.99"/>
  </r>
  <r>
    <x v="1"/>
    <s v="SMART EMPRESAS 40GB MAS"/>
    <n v="1"/>
    <n v="79.989999999999995"/>
  </r>
  <r>
    <x v="1"/>
    <s v="SMART EMPRESAS 100GB MAS"/>
    <n v="1"/>
    <n v="99.99"/>
  </r>
  <r>
    <x v="8"/>
    <s v="10GB PARA REDES SOCIAIS"/>
    <n v="1"/>
    <n v="10"/>
  </r>
  <r>
    <x v="1"/>
    <s v="SMART EMPRESAS 1GB MAS"/>
    <n v="1"/>
    <n v="29.99"/>
  </r>
  <r>
    <x v="1"/>
    <s v="SMART EMPRESAS 1GB MAS"/>
    <n v="1"/>
    <n v="29.99"/>
  </r>
  <r>
    <x v="1"/>
    <s v="SMART EMPRESAS 30GB MAS"/>
    <n v="1"/>
    <n v="69.989999999999995"/>
  </r>
  <r>
    <x v="8"/>
    <s v="10GB PARA REDES SOCIAIS"/>
    <n v="1"/>
    <n v="10"/>
  </r>
  <r>
    <x v="1"/>
    <s v="SMART EMPRESAS 1GB MAS"/>
    <n v="1"/>
    <n v="29.99"/>
  </r>
  <r>
    <x v="1"/>
    <s v="SMART EMPRESAS 1GB MAS"/>
    <n v="1"/>
    <n v="29.99"/>
  </r>
  <r>
    <x v="1"/>
    <s v="SMART EMPRESAS 10GB MAS"/>
    <n v="1"/>
    <n v="44.99"/>
  </r>
  <r>
    <x v="2"/>
    <s v="SMART EMPRESAS 6GB MAS"/>
    <n v="1"/>
    <n v="39.99"/>
  </r>
  <r>
    <x v="2"/>
    <s v="SMART EMPRESAS 6GB MAS"/>
    <n v="1"/>
    <n v="39.99"/>
  </r>
  <r>
    <x v="2"/>
    <s v="SMART EMPRESAS 6GB MAS"/>
    <n v="1"/>
    <n v="39.99"/>
  </r>
  <r>
    <x v="2"/>
    <s v="SMART EMPRESAS 6GB MAS"/>
    <n v="1"/>
    <n v="39.99"/>
  </r>
  <r>
    <x v="2"/>
    <s v="SMART EMPRESAS 6GB MAS"/>
    <n v="1"/>
    <n v="39.99"/>
  </r>
  <r>
    <x v="2"/>
    <s v="SMART EMPRESAS 6GB MAS"/>
    <n v="1"/>
    <n v="39.99"/>
  </r>
  <r>
    <x v="2"/>
    <s v="SMART EMPRESAS 6GB MAS"/>
    <n v="1"/>
    <n v="39.99"/>
  </r>
  <r>
    <x v="8"/>
    <s v="10GB PARA REDES SOCIAIS"/>
    <n v="1"/>
    <n v="10"/>
  </r>
  <r>
    <x v="1"/>
    <s v="SMART EMPRESAS 1GB MAS"/>
    <n v="1"/>
    <n v="29.99"/>
  </r>
  <r>
    <x v="1"/>
    <s v="SMART EMPRESAS 1GB MAS"/>
    <n v="1"/>
    <n v="29.99"/>
  </r>
  <r>
    <x v="1"/>
    <s v="SMART EMPRESAS 1GB MAS"/>
    <n v="1"/>
    <n v="29.99"/>
  </r>
  <r>
    <x v="1"/>
    <s v="SMART EMPRESAS 12GB MAS"/>
    <n v="1"/>
    <n v="49.99"/>
  </r>
  <r>
    <x v="1"/>
    <s v="SMART EMPRESAS 1GB MAS"/>
    <n v="1"/>
    <n v="29.99"/>
  </r>
  <r>
    <x v="8"/>
    <s v="10GB PARA REDES SOCIAIS"/>
    <n v="1"/>
    <n v="10"/>
  </r>
  <r>
    <x v="1"/>
    <s v="SMART EMPRESAS 1GB MAS"/>
    <n v="1"/>
    <n v="29.99"/>
  </r>
  <r>
    <x v="1"/>
    <s v="SMART EMPRESAS 1GB MAS"/>
    <n v="1"/>
    <n v="29.99"/>
  </r>
  <r>
    <x v="1"/>
    <s v="SMART EMPRESAS 100GB MAS"/>
    <n v="1"/>
    <n v="99.99"/>
  </r>
  <r>
    <x v="2"/>
    <s v="SMART EMPRESAS 100GB MAS"/>
    <n v="1"/>
    <n v="99.99"/>
  </r>
  <r>
    <x v="2"/>
    <s v="SMART EMPRESAS 100GB MAS"/>
    <n v="1"/>
    <n v="99.99"/>
  </r>
  <r>
    <x v="2"/>
    <s v="SMART EMPRESAS 100GB MAS"/>
    <n v="1"/>
    <n v="99.99"/>
  </r>
  <r>
    <x v="2"/>
    <s v="SMART EMPRESAS 100GB MAS"/>
    <n v="1"/>
    <n v="99.99"/>
  </r>
  <r>
    <x v="2"/>
    <s v="SMART EMPRESAS 100GB MAS"/>
    <n v="1"/>
    <n v="99.99"/>
  </r>
  <r>
    <x v="2"/>
    <s v="SMART EMPRESAS 30GB MAS"/>
    <n v="1"/>
    <n v="69.989999999999995"/>
  </r>
  <r>
    <x v="1"/>
    <s v="SMART EMPRESAS 1GB MAS"/>
    <n v="1"/>
    <n v="29.99"/>
  </r>
  <r>
    <x v="1"/>
    <s v="SMART EMPRESAS 1GB MAS"/>
    <n v="1"/>
    <n v="29.99"/>
  </r>
  <r>
    <x v="1"/>
    <s v="SMART EMPRESAS 1GB MAS"/>
    <n v="1"/>
    <n v="29.99"/>
  </r>
  <r>
    <x v="0"/>
    <s v="600 Mbps"/>
    <n v="1"/>
    <n v="72.989999999999995"/>
  </r>
  <r>
    <x v="0"/>
    <s v="Vivo Fixo Ilimitado Empresas BRASIL"/>
    <n v="1"/>
    <n v="21"/>
  </r>
  <r>
    <x v="0"/>
    <s v="Vivo Fixo Ilimitado Empresas BRASIL"/>
    <n v="1"/>
    <n v="30"/>
  </r>
  <r>
    <x v="0"/>
    <s v="Skeelo Promo"/>
    <n v="1"/>
    <n v="26"/>
  </r>
  <r>
    <x v="0"/>
    <s v="700 Mbps"/>
    <n v="1"/>
    <n v="73.989999999999995"/>
  </r>
  <r>
    <x v="0"/>
    <s v="Skeelo Promo"/>
    <n v="1"/>
    <n v="26"/>
  </r>
  <r>
    <x v="0"/>
    <s v="700 Mbps"/>
    <n v="1"/>
    <n v="73.989999999999995"/>
  </r>
  <r>
    <x v="0"/>
    <s v="Skeelo Promo"/>
    <n v="1"/>
    <n v="26"/>
  </r>
  <r>
    <x v="2"/>
    <s v="SMART EMPRESAS 100GB MAS"/>
    <n v="1"/>
    <n v="99.99"/>
  </r>
  <r>
    <x v="2"/>
    <s v="SMART EMPRESAS 100GB MAS"/>
    <n v="1"/>
    <n v="99.99"/>
  </r>
  <r>
    <x v="1"/>
    <s v="SMART EMPRESAS 1GB MAS"/>
    <n v="1"/>
    <n v="29.99"/>
  </r>
  <r>
    <x v="2"/>
    <s v="SMART EMPRESAS 40GB MAS"/>
    <n v="1"/>
    <n v="79.989999999999995"/>
  </r>
  <r>
    <x v="2"/>
    <s v="SMART EMPRESAS 6GB MAS"/>
    <n v="1"/>
    <n v="39.99"/>
  </r>
  <r>
    <x v="2"/>
    <s v="SMART EMPRESAS 6GB MAS"/>
    <n v="1"/>
    <n v="39.99"/>
  </r>
  <r>
    <x v="2"/>
    <s v="SMART EMPRESAS 6GB MAS"/>
    <n v="1"/>
    <n v="39.99"/>
  </r>
  <r>
    <x v="2"/>
    <s v="SMART EMPRESAS 6GB MAS"/>
    <n v="1"/>
    <n v="39.99"/>
  </r>
  <r>
    <x v="2"/>
    <s v="SMART EMPRESAS 6GB MAS"/>
    <n v="1"/>
    <n v="39.99"/>
  </r>
  <r>
    <x v="2"/>
    <s v="SMART EMPRESAS 6GB MAS"/>
    <n v="1"/>
    <n v="39.99"/>
  </r>
  <r>
    <x v="2"/>
    <s v="SMART EMPRESAS 6GB MAS"/>
    <n v="1"/>
    <n v="39.99"/>
  </r>
  <r>
    <x v="2"/>
    <s v="SMART EMPRESAS 6GB MAS"/>
    <n v="1"/>
    <n v="39.99"/>
  </r>
  <r>
    <x v="2"/>
    <s v="SMART EMPRESAS 6GB MAS"/>
    <n v="1"/>
    <n v="39.99"/>
  </r>
  <r>
    <x v="2"/>
    <s v="SMART EMPRESAS 6GB MAS"/>
    <n v="1"/>
    <n v="39.99"/>
  </r>
  <r>
    <x v="2"/>
    <s v="SMART EMPRESAS 6GB MAS"/>
    <n v="1"/>
    <n v="39.99"/>
  </r>
  <r>
    <x v="2"/>
    <s v="SMART EMPRESAS 6GB MAS"/>
    <n v="1"/>
    <n v="39.99"/>
  </r>
  <r>
    <x v="2"/>
    <s v="SMART EMPRESAS 6GB MAS"/>
    <n v="1"/>
    <n v="39.99"/>
  </r>
  <r>
    <x v="2"/>
    <s v="SMART EMPRESAS 6GB MAS"/>
    <n v="1"/>
    <n v="39.99"/>
  </r>
  <r>
    <x v="2"/>
    <s v="SMART EMPRESAS 6GB MAS"/>
    <n v="1"/>
    <n v="39.99"/>
  </r>
  <r>
    <x v="1"/>
    <s v="SMART EMPRESAS 1GB MAS"/>
    <n v="1"/>
    <n v="29.99"/>
  </r>
  <r>
    <x v="1"/>
    <s v="SMART EMPRESAS 1GB MAS"/>
    <n v="1"/>
    <n v="29.99"/>
  </r>
  <r>
    <x v="1"/>
    <s v="SMART EMPRESAS 1GB MAS"/>
    <n v="1"/>
    <n v="29.99"/>
  </r>
  <r>
    <x v="1"/>
    <s v="SMART EMPRESAS 6GB MAS"/>
    <n v="1"/>
    <n v="39.99"/>
  </r>
  <r>
    <x v="1"/>
    <s v="SMART EMPRESAS 10GB MAS"/>
    <n v="1"/>
    <n v="44.99"/>
  </r>
  <r>
    <x v="1"/>
    <s v="SMART EMPRESAS 1GB MAS"/>
    <n v="1"/>
    <n v="29.99"/>
  </r>
  <r>
    <x v="1"/>
    <s v="SMART EMPRESAS 1GB MAS"/>
    <n v="1"/>
    <n v="29.99"/>
  </r>
  <r>
    <x v="1"/>
    <s v="SMART EMPRESAS 1GB MAS"/>
    <n v="1"/>
    <n v="29.99"/>
  </r>
  <r>
    <x v="2"/>
    <s v="SMART EMPRESAS 100GB MAS"/>
    <n v="1"/>
    <n v="99.99"/>
  </r>
  <r>
    <x v="1"/>
    <s v="SMART EMPRESAS 1GB MAS"/>
    <n v="1"/>
    <n v="29.99"/>
  </r>
  <r>
    <x v="1"/>
    <s v="SMART EMPRESAS 1GB MAS"/>
    <n v="1"/>
    <n v="29.99"/>
  </r>
  <r>
    <x v="1"/>
    <s v="SMART EMPRESAS 1GB MAS"/>
    <n v="1"/>
    <n v="29.99"/>
  </r>
  <r>
    <x v="1"/>
    <s v="SMART EMPRESAS 1GB MAS"/>
    <n v="1"/>
    <n v="29.99"/>
  </r>
  <r>
    <x v="1"/>
    <s v="SMART EMPRESAS 1GB MAS"/>
    <n v="1"/>
    <n v="29.99"/>
  </r>
  <r>
    <x v="1"/>
    <s v="SMART EMPRESAS 1GB MAS"/>
    <n v="1"/>
    <n v="29.99"/>
  </r>
  <r>
    <x v="1"/>
    <s v="SMART EMPRESAS 1GB MAS"/>
    <n v="1"/>
    <n v="29.99"/>
  </r>
  <r>
    <x v="1"/>
    <s v="SMART EMPRESAS 1GB MAS"/>
    <n v="1"/>
    <n v="29.99"/>
  </r>
  <r>
    <x v="1"/>
    <s v="SMART EMPRESAS 1GB MAS"/>
    <n v="1"/>
    <n v="29.99"/>
  </r>
  <r>
    <x v="1"/>
    <s v="SMART EMPRESAS 1GB MAS"/>
    <n v="1"/>
    <n v="29.99"/>
  </r>
  <r>
    <x v="1"/>
    <s v="SMART EMPRESAS 1GB MAS"/>
    <n v="1"/>
    <n v="29.99"/>
  </r>
  <r>
    <x v="1"/>
    <s v="SMART EMPRESAS 1GB MAS"/>
    <n v="1"/>
    <n v="29.99"/>
  </r>
  <r>
    <x v="1"/>
    <s v="SMART EMPRESAS 1GB MAS"/>
    <n v="1"/>
    <n v="29.99"/>
  </r>
  <r>
    <x v="2"/>
    <s v="SMART EMPRESAS 100GB MAS"/>
    <n v="1"/>
    <n v="99.99"/>
  </r>
  <r>
    <x v="1"/>
    <s v="SMART EMPRESAS 1GB MAS"/>
    <n v="1"/>
    <n v="29.99"/>
  </r>
  <r>
    <x v="1"/>
    <s v="SMART EMPRESAS 1GB MAS"/>
    <n v="1"/>
    <n v="29.99"/>
  </r>
  <r>
    <x v="1"/>
    <s v="SMART EMPRESAS 1GB MAS"/>
    <n v="1"/>
    <n v="29.99"/>
  </r>
  <r>
    <x v="1"/>
    <s v="SMART EMPRESAS 1GB MAS"/>
    <n v="1"/>
    <n v="29.99"/>
  </r>
  <r>
    <x v="1"/>
    <s v="SMART EMPRESAS 1GB MAS"/>
    <n v="1"/>
    <n v="29.99"/>
  </r>
  <r>
    <x v="1"/>
    <s v="SMART EMPRESAS 1GB MAS"/>
    <n v="1"/>
    <n v="29.99"/>
  </r>
  <r>
    <x v="1"/>
    <s v="SMART EMPRESAS 1GB MAS"/>
    <n v="1"/>
    <n v="29.99"/>
  </r>
  <r>
    <x v="1"/>
    <s v="SMART EMPRESAS 1GB MAS"/>
    <n v="1"/>
    <n v="29.99"/>
  </r>
  <r>
    <x v="1"/>
    <s v="SMART EMPRESAS 1GB MAS"/>
    <n v="1"/>
    <n v="29.99"/>
  </r>
  <r>
    <x v="1"/>
    <s v="SMART EMPRESAS 1GB MAS"/>
    <n v="1"/>
    <n v="29.99"/>
  </r>
  <r>
    <x v="1"/>
    <s v="SMART EMPRESAS 1GB MAS"/>
    <n v="1"/>
    <n v="29.99"/>
  </r>
  <r>
    <x v="1"/>
    <s v="SMART EMPRESAS 1GB MAS"/>
    <n v="1"/>
    <n v="29.99"/>
  </r>
  <r>
    <x v="1"/>
    <s v="SMART EMPRESAS 1GB MAS"/>
    <n v="1"/>
    <n v="29.99"/>
  </r>
  <r>
    <x v="1"/>
    <s v="SMART EMPRESAS 1GB MAS"/>
    <n v="1"/>
    <n v="29.99"/>
  </r>
  <r>
    <x v="1"/>
    <s v="SMART EMPRESAS 1GB MAS"/>
    <n v="1"/>
    <n v="29.99"/>
  </r>
  <r>
    <x v="1"/>
    <s v="SMART EMPRESAS 20GB MAS"/>
    <n v="1"/>
    <n v="59.99"/>
  </r>
  <r>
    <x v="1"/>
    <s v="SMART EMPRESAS 100GB MAS"/>
    <n v="1"/>
    <n v="99.99"/>
  </r>
  <r>
    <x v="1"/>
    <s v="SMART EMPRESAS 100GB MAS"/>
    <n v="1"/>
    <n v="99.99"/>
  </r>
  <r>
    <x v="2"/>
    <s v="SMART EMPRESAS 100GB MAS"/>
    <n v="1"/>
    <n v="99.99"/>
  </r>
  <r>
    <x v="1"/>
    <s v="SMART EMPRESAS 1GB MAS"/>
    <n v="1"/>
    <n v="29.99"/>
  </r>
  <r>
    <x v="1"/>
    <s v="SMART EMPRESAS 1GB MAS"/>
    <n v="1"/>
    <n v="29.99"/>
  </r>
  <r>
    <x v="1"/>
    <s v="SMART EMPRESAS 12GB MAS"/>
    <n v="1"/>
    <n v="49.99"/>
  </r>
  <r>
    <x v="1"/>
    <s v="SMART EMPRESAS 1GB MAS"/>
    <n v="1"/>
    <n v="29.99"/>
  </r>
  <r>
    <x v="1"/>
    <s v="SMART EMPRESAS 1GB MAS"/>
    <n v="1"/>
    <n v="29.99"/>
  </r>
  <r>
    <x v="2"/>
    <s v="SMART EMPRESAS 100GB MAS"/>
    <n v="1"/>
    <n v="99.99"/>
  </r>
  <r>
    <x v="1"/>
    <s v="SMART EMPRESAS 1GB MAS"/>
    <n v="1"/>
    <n v="29.99"/>
  </r>
  <r>
    <x v="1"/>
    <s v="SMART EMPRESAS 1GB MAS"/>
    <n v="1"/>
    <n v="29.99"/>
  </r>
  <r>
    <x v="1"/>
    <s v="SMART EMPRESAS 1GB MAS"/>
    <n v="1"/>
    <n v="29.99"/>
  </r>
  <r>
    <x v="1"/>
    <s v="SMART EMPRESAS 1GB MAS"/>
    <n v="1"/>
    <n v="29.99"/>
  </r>
  <r>
    <x v="1"/>
    <s v="SMART EMPRESAS 1GB MAS"/>
    <n v="1"/>
    <n v="29.99"/>
  </r>
  <r>
    <x v="1"/>
    <s v="SMART EMPRESAS 1GB MAS"/>
    <n v="1"/>
    <n v="29.99"/>
  </r>
  <r>
    <x v="1"/>
    <s v="SMART EMPRESAS 1GB MAS"/>
    <n v="1"/>
    <n v="29.99"/>
  </r>
  <r>
    <x v="1"/>
    <s v="SMART EMPRESAS 1GB MAS"/>
    <n v="1"/>
    <n v="29.99"/>
  </r>
  <r>
    <x v="1"/>
    <s v="SMART EMPRESAS 1GB MAS"/>
    <n v="1"/>
    <n v="29.99"/>
  </r>
  <r>
    <x v="1"/>
    <s v="SMART EMPRESAS 1GB MAS"/>
    <n v="1"/>
    <n v="29.99"/>
  </r>
  <r>
    <x v="2"/>
    <s v="SMART EMPRESAS 15GB MAS"/>
    <n v="1"/>
    <n v="54.99"/>
  </r>
  <r>
    <x v="1"/>
    <s v="SMART EMPRESAS 1GB MAS"/>
    <n v="1"/>
    <n v="29.99"/>
  </r>
  <r>
    <x v="1"/>
    <s v="SMART EMPRESAS 1GB MAS"/>
    <n v="1"/>
    <n v="29.99"/>
  </r>
  <r>
    <x v="2"/>
    <s v="SMART EMPRESAS 100GB MAS"/>
    <n v="1"/>
    <n v="99.99"/>
  </r>
  <r>
    <x v="1"/>
    <s v="SMART EMPRESAS 1GB MAS"/>
    <n v="1"/>
    <n v="29.99"/>
  </r>
  <r>
    <x v="1"/>
    <s v="SMART EMPRESAS 1GB MAS"/>
    <n v="1"/>
    <n v="29.99"/>
  </r>
  <r>
    <x v="1"/>
    <s v="SMART EMPRESAS 1GB MAS"/>
    <n v="1"/>
    <n v="29.99"/>
  </r>
  <r>
    <x v="9"/>
    <s v="Outros"/>
    <n v="1"/>
    <n v="500"/>
  </r>
  <r>
    <x v="10"/>
    <s v="VOZ AVANÇADA VIVO VOZ NEGOCIO"/>
    <n v="1"/>
    <n v="200"/>
  </r>
  <r>
    <x v="3"/>
    <m/>
    <n v="1"/>
    <n v="10"/>
  </r>
  <r>
    <x v="5"/>
    <s v="500 Mbps"/>
    <n v="1"/>
    <n v="63.99"/>
  </r>
  <r>
    <x v="5"/>
    <s v="Skeelo Promo"/>
    <n v="1"/>
    <n v="26"/>
  </r>
  <r>
    <x v="4"/>
    <s v="1P"/>
    <n v="1"/>
    <n v="100"/>
  </r>
  <r>
    <x v="9"/>
    <s v="0800 Ilimitado - 4 Chamadas Simultâneas"/>
    <n v="1"/>
    <n v="479"/>
  </r>
  <r>
    <x v="9"/>
    <s v="Internet Dedicada 30 Mega"/>
    <n v="1"/>
    <n v="50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1">
  <r>
    <x v="0"/>
    <s v="700 Mbps"/>
    <n v="1"/>
    <n v="73.989999999999995"/>
    <s v="CONSULTOR 3"/>
    <n v="73.989999999999995"/>
  </r>
  <r>
    <x v="0"/>
    <s v="Skeelo Promo"/>
    <n v="1"/>
    <n v="26"/>
    <s v="CONSULTOR 3"/>
    <n v="26"/>
  </r>
  <r>
    <x v="1"/>
    <s v="SMART EMPRESAS 1GB MAS"/>
    <n v="1"/>
    <n v="29.99"/>
    <s v="CONSULTOR 3"/>
    <n v="29.99"/>
  </r>
  <r>
    <x v="2"/>
    <s v="SMART EMPRESAS 100GB MAS"/>
    <n v="1"/>
    <n v="99.99"/>
    <s v="CONSULTOR 3"/>
    <n v="99.99"/>
  </r>
  <r>
    <x v="2"/>
    <s v="SMART EMPRESAS 6GB MAS"/>
    <n v="1"/>
    <n v="39.99"/>
    <s v="CONSULTOR 3"/>
    <n v="39.99"/>
  </r>
  <r>
    <x v="1"/>
    <s v="SMART EMPRESAS 1GB MAS"/>
    <n v="1"/>
    <n v="29.99"/>
    <s v="CONSULTOR 3"/>
    <n v="29.99"/>
  </r>
  <r>
    <x v="1"/>
    <s v="SMART EMPRESAS 1GB MAS"/>
    <n v="1"/>
    <n v="29.99"/>
    <s v="CONSULTOR 3"/>
    <n v="29.99"/>
  </r>
  <r>
    <x v="1"/>
    <s v="SMART EMPRESAS 1GB MAS"/>
    <n v="1"/>
    <n v="29.99"/>
    <s v="CONSULTOR 3"/>
    <n v="29.99"/>
  </r>
  <r>
    <x v="1"/>
    <s v="SMART EMPRESAS 1GB MAS"/>
    <n v="1"/>
    <n v="29.99"/>
    <s v="CONSULTOR 3"/>
    <n v="29.99"/>
  </r>
  <r>
    <x v="2"/>
    <s v="SMART EMPRESAS 6GB MAS"/>
    <n v="1"/>
    <n v="39.99"/>
    <s v="CONSULTOR 3"/>
    <n v="39.99"/>
  </r>
  <r>
    <x v="1"/>
    <s v="SMART EMPRESAS 1GB MAS"/>
    <n v="1"/>
    <n v="29.99"/>
    <s v="CONSULTOR 3"/>
    <n v="29.99"/>
  </r>
  <r>
    <x v="1"/>
    <s v="SMART EMPRESAS 6GB MAS"/>
    <n v="1"/>
    <n v="39.99"/>
    <s v="CONSULTOR 3"/>
    <n v="39.99"/>
  </r>
  <r>
    <x v="1"/>
    <s v="SMART EMPRESAS 1GB MAS"/>
    <n v="1"/>
    <n v="29.99"/>
    <s v="CONSULTOR 3"/>
    <n v="29.99"/>
  </r>
  <r>
    <x v="2"/>
    <s v="SMART EMPRESAS 100GB MAS"/>
    <n v="1"/>
    <n v="99.99"/>
    <s v="CONSULTOR 3"/>
    <n v="99.99"/>
  </r>
  <r>
    <x v="2"/>
    <s v="SMART EMPRESAS 6GB MAS"/>
    <n v="1"/>
    <n v="39.99"/>
    <s v="CONSULTOR 3"/>
    <n v="39.99"/>
  </r>
  <r>
    <x v="2"/>
    <s v="SMART EMPRESAS 100GB MAS"/>
    <n v="1"/>
    <n v="99.99"/>
    <s v="CONSULTOR 3"/>
    <n v="99.99"/>
  </r>
  <r>
    <x v="1"/>
    <s v="SMART EMPRESAS 1GB MAS"/>
    <n v="1"/>
    <n v="29.99"/>
    <s v="CONSULTOR 3"/>
    <n v="29.99"/>
  </r>
  <r>
    <x v="1"/>
    <s v="SMART EMPRESAS 20GB MAS"/>
    <n v="1"/>
    <n v="59.99"/>
    <s v="CONSULTOR 3"/>
    <n v="59.99"/>
  </r>
  <r>
    <x v="1"/>
    <s v="SMART EMPRESAS 1GB MAS"/>
    <n v="1"/>
    <n v="29.99"/>
    <s v="CONSULTOR 3"/>
    <n v="29.99"/>
  </r>
  <r>
    <x v="1"/>
    <s v="SMART EMPRESAS 15GB MAS"/>
    <n v="1"/>
    <n v="54.99"/>
    <s v="CONSULTOR 3"/>
    <n v="54.99"/>
  </r>
  <r>
    <x v="1"/>
    <s v="SMART EMPRESAS 12GB MAS"/>
    <n v="1"/>
    <n v="49.99"/>
    <s v="CONSULTOR 3"/>
    <n v="49.99"/>
  </r>
  <r>
    <x v="1"/>
    <s v="SMART EMPRESAS 1GB MAS"/>
    <n v="1"/>
    <n v="29.99"/>
    <s v="CONSULTOR 3"/>
    <n v="29.99"/>
  </r>
  <r>
    <x v="1"/>
    <s v="SMART EMPRESAS 1GB MAS"/>
    <n v="1"/>
    <n v="29.99"/>
    <s v="CONSULTOR 3"/>
    <n v="29.99"/>
  </r>
  <r>
    <x v="1"/>
    <s v="SMART EMPRESAS 1GB MAS"/>
    <n v="1"/>
    <n v="29.99"/>
    <s v="CONSULTOR 3"/>
    <n v="29.99"/>
  </r>
  <r>
    <x v="3"/>
    <m/>
    <n v="1"/>
    <n v="10"/>
    <s v="CONSULTOR 3"/>
    <n v="10"/>
  </r>
  <r>
    <x v="4"/>
    <s v="1P"/>
    <n v="1"/>
    <n v="100"/>
    <s v="CONSULTOR 3"/>
    <n v="100"/>
  </r>
  <r>
    <x v="4"/>
    <s v="1P"/>
    <n v="1"/>
    <n v="100"/>
    <s v="CONSULTOR 3"/>
    <n v="100"/>
  </r>
  <r>
    <x v="4"/>
    <s v="DUO"/>
    <n v="1"/>
    <n v="270"/>
    <s v="CONSULTOR 3"/>
    <n v="270"/>
  </r>
  <r>
    <x v="4"/>
    <s v="1P"/>
    <n v="1"/>
    <n v="100"/>
    <s v="CONSULTOR 3"/>
    <n v="100"/>
  </r>
  <r>
    <x v="4"/>
    <s v="1P"/>
    <n v="1"/>
    <n v="100"/>
    <s v="CONSULTOR 3"/>
    <n v="100"/>
  </r>
  <r>
    <x v="4"/>
    <s v="1P"/>
    <n v="1"/>
    <n v="100"/>
    <s v="CONSULTOR 3"/>
    <n v="100"/>
  </r>
  <r>
    <x v="4"/>
    <s v="1P"/>
    <n v="1"/>
    <n v="100"/>
    <s v="CONSULTOR 3"/>
    <n v="100"/>
  </r>
  <r>
    <x v="4"/>
    <s v="1P"/>
    <n v="1"/>
    <n v="100"/>
    <s v="CONSULTOR 3"/>
    <n v="100"/>
  </r>
  <r>
    <x v="4"/>
    <s v="1P"/>
    <n v="1"/>
    <n v="100"/>
    <s v="CONSULTOR 3"/>
    <n v="100"/>
  </r>
  <r>
    <x v="4"/>
    <s v="1P"/>
    <n v="1"/>
    <n v="100"/>
    <s v="CONSULTOR 3"/>
    <n v="100"/>
  </r>
  <r>
    <x v="5"/>
    <s v="700 Mbps"/>
    <n v="1"/>
    <n v="73.989999999999995"/>
    <s v="CONSULTOR 3"/>
    <n v="73.989999999999995"/>
  </r>
  <r>
    <x v="5"/>
    <s v="Skeelo Promo"/>
    <n v="1"/>
    <n v="26"/>
    <s v="CONSULTOR 3"/>
    <n v="26"/>
  </r>
  <r>
    <x v="6"/>
    <s v="Apontador Business"/>
    <n v="1"/>
    <n v="9"/>
    <s v="CONSULTOR 1"/>
    <n v="9"/>
  </r>
  <r>
    <x v="6"/>
    <s v="Ilimitado Brasil  Empresas Especial"/>
    <n v="1"/>
    <n v="21"/>
    <s v="CONSULTOR 1"/>
    <n v="21"/>
  </r>
  <r>
    <x v="6"/>
    <s v="700 Mbps"/>
    <n v="1"/>
    <n v="73.989999999999995"/>
    <s v="CONSULTOR 1"/>
    <n v="73.989999999999995"/>
  </r>
  <r>
    <x v="6"/>
    <s v="Skeelo Promo"/>
    <n v="1"/>
    <n v="26"/>
    <s v="CONSULTOR 1"/>
    <n v="26"/>
  </r>
  <r>
    <x v="0"/>
    <s v="700 Mbps"/>
    <n v="1"/>
    <n v="73.989999999999995"/>
    <s v="CONSULTOR 1"/>
    <n v="73.989999999999995"/>
  </r>
  <r>
    <x v="0"/>
    <s v="Skeelo Promo"/>
    <n v="1"/>
    <n v="26"/>
    <s v="CONSULTOR 1"/>
    <n v="26"/>
  </r>
  <r>
    <x v="0"/>
    <s v="PACOTE SUPER HD FIBRA"/>
    <n v="1"/>
    <n v="124.99"/>
    <s v="CONSULTOR 1"/>
    <n v="124.99"/>
  </r>
  <r>
    <x v="2"/>
    <s v="SMART EMPRESAS 100GB MAS"/>
    <n v="1"/>
    <n v="99.99"/>
    <s v="CONSULTOR 1"/>
    <n v="99.99"/>
  </r>
  <r>
    <x v="7"/>
    <s v="SMART EMPRESAS 6GB MAS"/>
    <n v="1"/>
    <n v="39.99"/>
    <s v="CONSULTOR 1"/>
    <n v="39.99"/>
  </r>
  <r>
    <x v="8"/>
    <s v="10GB PARA REDES SOCIAIS"/>
    <n v="1"/>
    <n v="10"/>
    <s v="CONSULTOR 1"/>
    <n v="10"/>
  </r>
  <r>
    <x v="1"/>
    <s v="SMART EMPRESAS 100GB MAS"/>
    <n v="1"/>
    <n v="99.99"/>
    <s v="CONSULTOR 1"/>
    <n v="99.99"/>
  </r>
  <r>
    <x v="8"/>
    <s v="10GB PARA REDES SOCIAIS"/>
    <n v="1"/>
    <n v="10"/>
    <s v="CONSULTOR 1"/>
    <n v="10"/>
  </r>
  <r>
    <x v="1"/>
    <s v="SMART EMPRESAS 1GB MAS"/>
    <n v="1"/>
    <n v="29.99"/>
    <s v="CONSULTOR 1"/>
    <n v="29.99"/>
  </r>
  <r>
    <x v="1"/>
    <s v="SMART EMPRESAS 1GB MAS"/>
    <n v="1"/>
    <n v="29.99"/>
    <s v="CONSULTOR 1"/>
    <n v="29.99"/>
  </r>
  <r>
    <x v="1"/>
    <s v="SMART EMPRESAS 1GB MAS"/>
    <n v="1"/>
    <n v="29.99"/>
    <s v="CONSULTOR 1"/>
    <n v="29.99"/>
  </r>
  <r>
    <x v="1"/>
    <s v="SMART EMPRESAS 1GB MAS"/>
    <n v="1"/>
    <n v="29.99"/>
    <s v="CONSULTOR 1"/>
    <n v="29.99"/>
  </r>
  <r>
    <x v="1"/>
    <s v="SMART EMPRESAS 10GB MAS"/>
    <n v="1"/>
    <n v="44.99"/>
    <s v="CONSULTOR 1"/>
    <n v="44.99"/>
  </r>
  <r>
    <x v="1"/>
    <s v="SMART EMPRESAS 100GB MAS"/>
    <n v="1"/>
    <n v="99.99"/>
    <s v="CONSULTOR 1"/>
    <n v="99.99"/>
  </r>
  <r>
    <x v="2"/>
    <s v="SMART EMPRESAS 100GB MAS"/>
    <n v="1"/>
    <n v="99.99"/>
    <s v="CONSULTOR 1"/>
    <n v="99.99"/>
  </r>
  <r>
    <x v="1"/>
    <s v="SMART EMPRESAS 1GB MAS"/>
    <n v="1"/>
    <n v="29.99"/>
    <s v="CONSULTOR 1"/>
    <n v="29.99"/>
  </r>
  <r>
    <x v="1"/>
    <s v="SMART EMPRESAS 1GB MAS"/>
    <n v="1"/>
    <n v="29.99"/>
    <s v="CONSULTOR 1"/>
    <n v="29.99"/>
  </r>
  <r>
    <x v="1"/>
    <s v="SMART EMPRESAS 1GB MAS"/>
    <n v="1"/>
    <n v="29.99"/>
    <s v="CONSULTOR 1"/>
    <n v="29.99"/>
  </r>
  <r>
    <x v="1"/>
    <s v="SMART EMPRESAS 1GB MAS"/>
    <n v="1"/>
    <n v="29.99"/>
    <s v="CONSULTOR 1"/>
    <n v="29.99"/>
  </r>
  <r>
    <x v="1"/>
    <s v="SMART EMPRESAS 6GB MAS"/>
    <n v="1"/>
    <n v="39.99"/>
    <s v="CONSULTOR 1"/>
    <n v="39.99"/>
  </r>
  <r>
    <x v="8"/>
    <s v="10GB PARA REDES SOCIAIS"/>
    <n v="1"/>
    <n v="10"/>
    <s v="CONSULTOR 1"/>
    <n v="10"/>
  </r>
  <r>
    <x v="1"/>
    <s v="SMART EMPRESAS 1GB MAS"/>
    <n v="1"/>
    <n v="29.99"/>
    <s v="CONSULTOR 1"/>
    <n v="29.99"/>
  </r>
  <r>
    <x v="1"/>
    <s v="SMART EMPRESAS 30GB MAS"/>
    <n v="1"/>
    <n v="69.989999999999995"/>
    <s v="CONSULTOR 1"/>
    <n v="69.989999999999995"/>
  </r>
  <r>
    <x v="8"/>
    <s v="10GB PARA REDES SOCIAIS"/>
    <n v="1"/>
    <n v="10"/>
    <s v="CONSULTOR 1"/>
    <n v="10"/>
  </r>
  <r>
    <x v="1"/>
    <s v="SMART EMPRESAS 1GB MAS"/>
    <n v="1"/>
    <n v="29.99"/>
    <s v="CONSULTOR 1"/>
    <n v="29.99"/>
  </r>
  <r>
    <x v="1"/>
    <s v="SMART EMPRESAS 1GB MAS"/>
    <n v="1"/>
    <n v="29.99"/>
    <s v="CONSULTOR 1"/>
    <n v="29.99"/>
  </r>
  <r>
    <x v="1"/>
    <s v="SMART EMPRESAS 1GB MAS"/>
    <n v="1"/>
    <n v="29.99"/>
    <s v="CONSULTOR 1"/>
    <n v="29.99"/>
  </r>
  <r>
    <x v="1"/>
    <s v="SMART EMPRESAS 1GB MAS"/>
    <n v="1"/>
    <n v="29.99"/>
    <s v="CONSULTOR 1"/>
    <n v="29.99"/>
  </r>
  <r>
    <x v="1"/>
    <s v="SMART EMPRESAS 100GB MAS"/>
    <n v="1"/>
    <n v="99.99"/>
    <s v="CONSULTOR 1"/>
    <n v="99.99"/>
  </r>
  <r>
    <x v="8"/>
    <s v="10GB PARA REDES SOCIAIS"/>
    <n v="1"/>
    <n v="10"/>
    <s v="CONSULTOR 1"/>
    <n v="10"/>
  </r>
  <r>
    <x v="1"/>
    <s v="SMART EMPRESAS 12GB MAS"/>
    <n v="1"/>
    <n v="49.99"/>
    <s v="CONSULTOR 1"/>
    <n v="49.99"/>
  </r>
  <r>
    <x v="1"/>
    <s v="SMART EMPRESAS 1GB MAS"/>
    <n v="1"/>
    <n v="29.99"/>
    <s v="CONSULTOR 1"/>
    <n v="29.99"/>
  </r>
  <r>
    <x v="1"/>
    <s v="SMART EMPRESAS 1GB MAS"/>
    <n v="1"/>
    <n v="29.99"/>
    <s v="CONSULTOR 1"/>
    <n v="29.99"/>
  </r>
  <r>
    <x v="2"/>
    <s v="SMART EMPRESAS 100GB MAS"/>
    <n v="1"/>
    <n v="99.99"/>
    <s v="CONSULTOR 1"/>
    <n v="99.99"/>
  </r>
  <r>
    <x v="2"/>
    <s v="SMART EMPRESAS 100GB MAS"/>
    <n v="1"/>
    <n v="99.99"/>
    <s v="CONSULTOR 1"/>
    <n v="99.99"/>
  </r>
  <r>
    <x v="2"/>
    <s v="SMART EMPRESAS 100GB MAS"/>
    <n v="1"/>
    <n v="99.99"/>
    <s v="CONSULTOR 1"/>
    <n v="99.99"/>
  </r>
  <r>
    <x v="1"/>
    <s v="SMART EMPRESAS 1GB MAS"/>
    <n v="1"/>
    <n v="29.99"/>
    <s v="CONSULTOR 1"/>
    <n v="29.99"/>
  </r>
  <r>
    <x v="1"/>
    <s v="SMART EMPRESAS 1GB MAS"/>
    <n v="1"/>
    <n v="29.99"/>
    <s v="CONSULTOR 1"/>
    <n v="29.99"/>
  </r>
  <r>
    <x v="1"/>
    <s v="SMART EMPRESAS 1GB MAS"/>
    <n v="1"/>
    <n v="29.99"/>
    <s v="CONSULTOR 1"/>
    <n v="29.99"/>
  </r>
  <r>
    <x v="1"/>
    <s v="SMART EMPRESAS 1GB MAS"/>
    <n v="1"/>
    <n v="29.99"/>
    <s v="CONSULTOR 1"/>
    <n v="29.99"/>
  </r>
  <r>
    <x v="1"/>
    <s v="SMART EMPRESAS 1GB MAS"/>
    <n v="1"/>
    <n v="29.99"/>
    <s v="CONSULTOR 1"/>
    <n v="29.99"/>
  </r>
  <r>
    <x v="1"/>
    <s v="SMART EMPRESAS 1GB MAS"/>
    <n v="1"/>
    <n v="29.99"/>
    <s v="CONSULTOR 1"/>
    <n v="29.99"/>
  </r>
  <r>
    <x v="1"/>
    <s v="SMART EMPRESAS 1GB MAS"/>
    <n v="1"/>
    <n v="29.99"/>
    <s v="CONSULTOR 1"/>
    <n v="29.99"/>
  </r>
  <r>
    <x v="1"/>
    <s v="SMART EMPRESAS 1GB MAS"/>
    <n v="1"/>
    <n v="29.99"/>
    <s v="CONSULTOR 1"/>
    <n v="29.99"/>
  </r>
  <r>
    <x v="1"/>
    <s v="SMART EMPRESAS 1GB MAS"/>
    <n v="1"/>
    <n v="29.99"/>
    <s v="CONSULTOR 1"/>
    <n v="29.99"/>
  </r>
  <r>
    <x v="1"/>
    <s v="SMART EMPRESAS 1GB MAS"/>
    <n v="1"/>
    <n v="29.99"/>
    <s v="CONSULTOR 1"/>
    <n v="29.99"/>
  </r>
  <r>
    <x v="1"/>
    <s v="SMART EMPRESAS 1GB MAS"/>
    <n v="1"/>
    <n v="29.99"/>
    <s v="CONSULTOR 1"/>
    <n v="29.99"/>
  </r>
  <r>
    <x v="1"/>
    <s v="SMART EMPRESAS 1GB MAS"/>
    <n v="1"/>
    <n v="29.99"/>
    <s v="CONSULTOR 1"/>
    <n v="29.99"/>
  </r>
  <r>
    <x v="1"/>
    <s v="SMART EMPRESAS 1GB MAS"/>
    <n v="1"/>
    <n v="29.99"/>
    <s v="CONSULTOR 1"/>
    <n v="29.99"/>
  </r>
  <r>
    <x v="1"/>
    <s v="SMART EMPRESAS 1GB MAS"/>
    <n v="1"/>
    <n v="29.99"/>
    <s v="CONSULTOR 1"/>
    <n v="29.99"/>
  </r>
  <r>
    <x v="1"/>
    <s v="SMART EMPRESAS 1GB MAS"/>
    <n v="1"/>
    <n v="29.99"/>
    <s v="CONSULTOR 1"/>
    <n v="29.99"/>
  </r>
  <r>
    <x v="1"/>
    <s v="SMART EMPRESAS 1GB MAS"/>
    <n v="1"/>
    <n v="29.99"/>
    <s v="CONSULTOR 1"/>
    <n v="29.99"/>
  </r>
  <r>
    <x v="1"/>
    <s v="SMART EMPRESAS 1GB MAS"/>
    <n v="1"/>
    <n v="29.99"/>
    <s v="CONSULTOR 1"/>
    <n v="29.99"/>
  </r>
  <r>
    <x v="1"/>
    <s v="SMART EMPRESAS 1GB MAS"/>
    <n v="1"/>
    <n v="29.99"/>
    <s v="CONSULTOR 1"/>
    <n v="29.99"/>
  </r>
  <r>
    <x v="1"/>
    <s v="SMART EMPRESAS 1GB MAS"/>
    <n v="1"/>
    <n v="29.99"/>
    <s v="CONSULTOR 1"/>
    <n v="29.99"/>
  </r>
  <r>
    <x v="1"/>
    <s v="SMART EMPRESAS 1GB MAS"/>
    <n v="1"/>
    <n v="29.99"/>
    <s v="CONSULTOR 1"/>
    <n v="29.99"/>
  </r>
  <r>
    <x v="1"/>
    <s v="SMART EMPRESAS 1GB MAS"/>
    <n v="1"/>
    <n v="29.99"/>
    <s v="CONSULTOR 1"/>
    <n v="29.99"/>
  </r>
  <r>
    <x v="1"/>
    <s v="SMART EMPRESAS 1GB MAS"/>
    <n v="1"/>
    <n v="29.99"/>
    <s v="CONSULTOR 1"/>
    <n v="29.99"/>
  </r>
  <r>
    <x v="1"/>
    <s v="SMART EMPRESAS 1GB MAS"/>
    <n v="1"/>
    <n v="29.99"/>
    <s v="CONSULTOR 1"/>
    <n v="29.99"/>
  </r>
  <r>
    <x v="1"/>
    <s v="SMART EMPRESAS 1GB MAS"/>
    <n v="1"/>
    <n v="29.99"/>
    <s v="CONSULTOR 1"/>
    <n v="29.99"/>
  </r>
  <r>
    <x v="1"/>
    <s v="SMART EMPRESAS 1GB MAS"/>
    <n v="1"/>
    <n v="29.99"/>
    <s v="CONSULTOR 1"/>
    <n v="29.99"/>
  </r>
  <r>
    <x v="1"/>
    <s v="SMART EMPRESAS 1GB MAS"/>
    <n v="1"/>
    <n v="29.99"/>
    <s v="CONSULTOR 1"/>
    <n v="29.99"/>
  </r>
  <r>
    <x v="1"/>
    <s v="SMART EMPRESAS 1GB MAS"/>
    <n v="1"/>
    <n v="29.99"/>
    <s v="CONSULTOR 1"/>
    <n v="29.99"/>
  </r>
  <r>
    <x v="1"/>
    <s v="SMART EMPRESAS 1GB MAS"/>
    <n v="1"/>
    <n v="29.99"/>
    <s v="CONSULTOR 1"/>
    <n v="29.99"/>
  </r>
  <r>
    <x v="1"/>
    <s v="SMART EMPRESAS 1GB MAS"/>
    <n v="1"/>
    <n v="29.99"/>
    <s v="CONSULTOR 1"/>
    <n v="29.99"/>
  </r>
  <r>
    <x v="1"/>
    <s v="SMART EMPRESAS 1GB MAS"/>
    <n v="1"/>
    <n v="29.99"/>
    <s v="CONSULTOR 1"/>
    <n v="29.99"/>
  </r>
  <r>
    <x v="1"/>
    <s v="SMART EMPRESAS 1GB MAS"/>
    <n v="1"/>
    <n v="29.99"/>
    <s v="CONSULTOR 1"/>
    <n v="29.99"/>
  </r>
  <r>
    <x v="1"/>
    <s v="SMART EMPRESAS 1GB MAS"/>
    <n v="1"/>
    <n v="29.99"/>
    <s v="CONSULTOR 1"/>
    <n v="29.99"/>
  </r>
  <r>
    <x v="1"/>
    <s v="SMART EMPRESAS 1GB MAS"/>
    <n v="1"/>
    <n v="29.99"/>
    <s v="CONSULTOR 1"/>
    <n v="29.99"/>
  </r>
  <r>
    <x v="1"/>
    <s v="SMART EMPRESAS 1GB MAS"/>
    <n v="1"/>
    <n v="29.99"/>
    <s v="CONSULTOR 1"/>
    <n v="29.99"/>
  </r>
  <r>
    <x v="1"/>
    <s v="SMART EMPRESAS 1GB MAS"/>
    <n v="1"/>
    <n v="29.99"/>
    <s v="CONSULTOR 1"/>
    <n v="29.99"/>
  </r>
  <r>
    <x v="1"/>
    <s v="SMART EMPRESAS 1GB MAS"/>
    <n v="1"/>
    <n v="29.99"/>
    <s v="CONSULTOR 1"/>
    <n v="29.99"/>
  </r>
  <r>
    <x v="1"/>
    <s v="SMART EMPRESAS 1GB MAS"/>
    <n v="1"/>
    <n v="29.99"/>
    <s v="CONSULTOR 1"/>
    <n v="29.99"/>
  </r>
  <r>
    <x v="1"/>
    <s v="SMART EMPRESAS 100GB MAS"/>
    <n v="1"/>
    <n v="99.99"/>
    <s v="CONSULTOR 1"/>
    <n v="99.99"/>
  </r>
  <r>
    <x v="1"/>
    <s v="SMART EMPRESAS 1GB MAS"/>
    <n v="1"/>
    <n v="29.99"/>
    <s v="CONSULTOR 1"/>
    <n v="29.99"/>
  </r>
  <r>
    <x v="1"/>
    <s v="SMART EMPRESAS 80GB MAS"/>
    <n v="1"/>
    <n v="94.99"/>
    <s v="CONSULTOR 1"/>
    <n v="94.99"/>
  </r>
  <r>
    <x v="1"/>
    <s v="SMART EMPRESAS 1GB MAS"/>
    <n v="1"/>
    <n v="29.99"/>
    <s v="CONSULTOR 1"/>
    <n v="29.99"/>
  </r>
  <r>
    <x v="1"/>
    <s v="SMART EMPRESAS 10GB MAS"/>
    <n v="1"/>
    <n v="44.99"/>
    <s v="CONSULTOR 1"/>
    <n v="44.99"/>
  </r>
  <r>
    <x v="1"/>
    <s v="SMART EMPRESAS 1GB MAS"/>
    <n v="1"/>
    <n v="29.99"/>
    <s v="CONSULTOR 1"/>
    <n v="29.99"/>
  </r>
  <r>
    <x v="2"/>
    <s v="SMART EMPRESAS 100GB MAS"/>
    <n v="1"/>
    <n v="99.99"/>
    <s v="CONSULTOR 1"/>
    <n v="99.99"/>
  </r>
  <r>
    <x v="1"/>
    <s v="SMART EMPRESAS 1GB MAS"/>
    <n v="1"/>
    <n v="29.99"/>
    <s v="CONSULTOR 1"/>
    <n v="29.99"/>
  </r>
  <r>
    <x v="1"/>
    <s v="SMART EMPRESAS 1GB MAS"/>
    <n v="1"/>
    <n v="29.99"/>
    <s v="CONSULTOR 1"/>
    <n v="29.99"/>
  </r>
  <r>
    <x v="1"/>
    <s v="SMART EMPRESAS 3GB MAS"/>
    <n v="1"/>
    <n v="34.99"/>
    <s v="CONSULTOR 1"/>
    <n v="34.99"/>
  </r>
  <r>
    <x v="1"/>
    <s v="SMART EMPRESAS 1GB MAS"/>
    <n v="1"/>
    <n v="29.99"/>
    <s v="CONSULTOR 1"/>
    <n v="29.99"/>
  </r>
  <r>
    <x v="1"/>
    <s v="SMART EMPRESAS 1GB MAS"/>
    <n v="1"/>
    <n v="29.99"/>
    <s v="CONSULTOR 1"/>
    <n v="29.99"/>
  </r>
  <r>
    <x v="2"/>
    <s v="SMART EMPRESAS 6GB MAS"/>
    <n v="1"/>
    <n v="39.99"/>
    <s v="CONSULTOR 1"/>
    <n v="39.99"/>
  </r>
  <r>
    <x v="1"/>
    <s v="SMART EMPRESAS 1GB MAS"/>
    <n v="1"/>
    <n v="29.99"/>
    <s v="CONSULTOR 1"/>
    <n v="29.99"/>
  </r>
  <r>
    <x v="1"/>
    <s v="SMART EMPRESAS 1GB MAS"/>
    <n v="1"/>
    <n v="29.99"/>
    <s v="CONSULTOR 1"/>
    <n v="29.99"/>
  </r>
  <r>
    <x v="1"/>
    <s v="SMART EMPRESAS 1GB MAS"/>
    <n v="1"/>
    <n v="29.99"/>
    <s v="CONSULTOR 1"/>
    <n v="29.99"/>
  </r>
  <r>
    <x v="1"/>
    <s v="SMART EMPRESAS 1GB MAS"/>
    <n v="1"/>
    <n v="29.99"/>
    <s v="CONSULTOR 1"/>
    <n v="29.99"/>
  </r>
  <r>
    <x v="8"/>
    <s v="10GB PARA REDES SOCIAIS"/>
    <n v="1"/>
    <n v="10"/>
    <s v="CONSULTOR 1"/>
    <n v="10"/>
  </r>
  <r>
    <x v="1"/>
    <s v="SMART EMPRESAS 1GB MAS"/>
    <n v="1"/>
    <n v="29.99"/>
    <s v="CONSULTOR 1"/>
    <n v="29.99"/>
  </r>
  <r>
    <x v="1"/>
    <s v="SMART EMPRESAS 1GB MAS"/>
    <n v="1"/>
    <n v="29.99"/>
    <s v="CONSULTOR 1"/>
    <n v="29.99"/>
  </r>
  <r>
    <x v="1"/>
    <s v="SMART EMPRESAS 1GB MAS"/>
    <n v="1"/>
    <n v="29.99"/>
    <s v="CONSULTOR 1"/>
    <n v="29.99"/>
  </r>
  <r>
    <x v="1"/>
    <s v="SMART EMPRESAS 40GB MAS"/>
    <n v="1"/>
    <n v="79.989999999999995"/>
    <s v="CONSULTOR 1"/>
    <n v="79.989999999999995"/>
  </r>
  <r>
    <x v="1"/>
    <s v="SMART EMPRESAS 100GB MAS"/>
    <n v="1"/>
    <n v="99.99"/>
    <s v="CONSULTOR 1"/>
    <n v="99.99"/>
  </r>
  <r>
    <x v="8"/>
    <s v="10GB PARA REDES SOCIAIS"/>
    <n v="1"/>
    <n v="10"/>
    <s v="CONSULTOR 1"/>
    <n v="10"/>
  </r>
  <r>
    <x v="1"/>
    <s v="SMART EMPRESAS 1GB MAS"/>
    <n v="1"/>
    <n v="29.99"/>
    <s v="CONSULTOR 1"/>
    <n v="29.99"/>
  </r>
  <r>
    <x v="1"/>
    <s v="SMART EMPRESAS 1GB MAS"/>
    <n v="1"/>
    <n v="29.99"/>
    <s v="CONSULTOR 1"/>
    <n v="29.99"/>
  </r>
  <r>
    <x v="1"/>
    <s v="SMART EMPRESAS 30GB MAS"/>
    <n v="1"/>
    <n v="69.989999999999995"/>
    <s v="CONSULTOR 1"/>
    <n v="69.989999999999995"/>
  </r>
  <r>
    <x v="8"/>
    <s v="10GB PARA REDES SOCIAIS"/>
    <n v="1"/>
    <n v="10"/>
    <s v="CONSULTOR 1"/>
    <n v="10"/>
  </r>
  <r>
    <x v="1"/>
    <s v="SMART EMPRESAS 1GB MAS"/>
    <n v="1"/>
    <n v="29.99"/>
    <s v="CONSULTOR 1"/>
    <n v="29.99"/>
  </r>
  <r>
    <x v="1"/>
    <s v="SMART EMPRESAS 1GB MAS"/>
    <n v="1"/>
    <n v="29.99"/>
    <s v="CONSULTOR 1"/>
    <n v="29.99"/>
  </r>
  <r>
    <x v="1"/>
    <s v="SMART EMPRESAS 10GB MAS"/>
    <n v="1"/>
    <n v="44.99"/>
    <s v="CONSULTOR 1"/>
    <n v="44.99"/>
  </r>
  <r>
    <x v="2"/>
    <s v="SMART EMPRESAS 6GB MAS"/>
    <n v="1"/>
    <n v="39.99"/>
    <s v="CONSULTOR 1"/>
    <n v="39.99"/>
  </r>
  <r>
    <x v="2"/>
    <s v="SMART EMPRESAS 6GB MAS"/>
    <n v="1"/>
    <n v="39.99"/>
    <s v="CONSULTOR 1"/>
    <n v="39.99"/>
  </r>
  <r>
    <x v="2"/>
    <s v="SMART EMPRESAS 6GB MAS"/>
    <n v="1"/>
    <n v="39.99"/>
    <s v="CONSULTOR 1"/>
    <n v="39.99"/>
  </r>
  <r>
    <x v="2"/>
    <s v="SMART EMPRESAS 6GB MAS"/>
    <n v="1"/>
    <n v="39.99"/>
    <s v="CONSULTOR 1"/>
    <n v="39.99"/>
  </r>
  <r>
    <x v="2"/>
    <s v="SMART EMPRESAS 6GB MAS"/>
    <n v="1"/>
    <n v="39.99"/>
    <s v="CONSULTOR 1"/>
    <n v="39.99"/>
  </r>
  <r>
    <x v="2"/>
    <s v="SMART EMPRESAS 6GB MAS"/>
    <n v="1"/>
    <n v="39.99"/>
    <s v="CONSULTOR 1"/>
    <n v="39.99"/>
  </r>
  <r>
    <x v="2"/>
    <s v="SMART EMPRESAS 6GB MAS"/>
    <n v="1"/>
    <n v="39.99"/>
    <s v="CONSULTOR 1"/>
    <n v="39.99"/>
  </r>
  <r>
    <x v="8"/>
    <s v="10GB PARA REDES SOCIAIS"/>
    <n v="1"/>
    <n v="10"/>
    <s v="CONSULTOR 1"/>
    <n v="10"/>
  </r>
  <r>
    <x v="1"/>
    <s v="SMART EMPRESAS 1GB MAS"/>
    <n v="1"/>
    <n v="29.99"/>
    <s v="CONSULTOR 1"/>
    <n v="29.99"/>
  </r>
  <r>
    <x v="1"/>
    <s v="SMART EMPRESAS 1GB MAS"/>
    <n v="1"/>
    <n v="29.99"/>
    <s v="CONSULTOR 1"/>
    <n v="29.99"/>
  </r>
  <r>
    <x v="1"/>
    <s v="SMART EMPRESAS 1GB MAS"/>
    <n v="1"/>
    <n v="29.99"/>
    <s v="CONSULTOR 1"/>
    <n v="29.99"/>
  </r>
  <r>
    <x v="1"/>
    <s v="SMART EMPRESAS 12GB MAS"/>
    <n v="1"/>
    <n v="49.99"/>
    <s v="CONSULTOR 1"/>
    <n v="49.99"/>
  </r>
  <r>
    <x v="1"/>
    <s v="SMART EMPRESAS 1GB MAS"/>
    <n v="1"/>
    <n v="29.99"/>
    <s v="CONSULTOR 1"/>
    <n v="29.99"/>
  </r>
  <r>
    <x v="8"/>
    <s v="10GB PARA REDES SOCIAIS"/>
    <n v="1"/>
    <n v="10"/>
    <s v="CONSULTOR 1"/>
    <n v="10"/>
  </r>
  <r>
    <x v="1"/>
    <s v="SMART EMPRESAS 1GB MAS"/>
    <n v="1"/>
    <n v="29.99"/>
    <s v="CONSULTOR 1"/>
    <n v="29.99"/>
  </r>
  <r>
    <x v="1"/>
    <s v="SMART EMPRESAS 1GB MAS"/>
    <n v="1"/>
    <n v="29.99"/>
    <s v="CONSULTOR 1"/>
    <n v="29.99"/>
  </r>
  <r>
    <x v="1"/>
    <s v="SMART EMPRESAS 100GB MAS"/>
    <n v="1"/>
    <n v="99.99"/>
    <s v="CONSULTOR 1"/>
    <n v="99.99"/>
  </r>
  <r>
    <x v="2"/>
    <s v="SMART EMPRESAS 100GB MAS"/>
    <n v="1"/>
    <n v="99.99"/>
    <s v="CONSULTOR 1"/>
    <n v="99.99"/>
  </r>
  <r>
    <x v="2"/>
    <s v="SMART EMPRESAS 100GB MAS"/>
    <n v="1"/>
    <n v="99.99"/>
    <s v="CONSULTOR 1"/>
    <n v="99.99"/>
  </r>
  <r>
    <x v="2"/>
    <s v="SMART EMPRESAS 100GB MAS"/>
    <n v="1"/>
    <n v="99.99"/>
    <s v="CONSULTOR 1"/>
    <n v="99.99"/>
  </r>
  <r>
    <x v="2"/>
    <s v="SMART EMPRESAS 100GB MAS"/>
    <n v="1"/>
    <n v="99.99"/>
    <s v="CONSULTOR 1"/>
    <n v="99.99"/>
  </r>
  <r>
    <x v="2"/>
    <s v="SMART EMPRESAS 100GB MAS"/>
    <n v="1"/>
    <n v="99.99"/>
    <s v="CONSULTOR 1"/>
    <n v="99.99"/>
  </r>
  <r>
    <x v="2"/>
    <s v="SMART EMPRESAS 30GB MAS"/>
    <n v="1"/>
    <n v="69.989999999999995"/>
    <s v="CONSULTOR 1"/>
    <n v="69.989999999999995"/>
  </r>
  <r>
    <x v="1"/>
    <s v="SMART EMPRESAS 1GB MAS"/>
    <n v="1"/>
    <n v="29.99"/>
    <s v="CONSULTOR 1"/>
    <n v="29.99"/>
  </r>
  <r>
    <x v="1"/>
    <s v="SMART EMPRESAS 1GB MAS"/>
    <n v="1"/>
    <n v="29.99"/>
    <s v="CONSULTOR 1"/>
    <n v="29.99"/>
  </r>
  <r>
    <x v="1"/>
    <s v="SMART EMPRESAS 1GB MAS"/>
    <n v="1"/>
    <n v="29.99"/>
    <s v="CONSULTOR 1"/>
    <n v="29.99"/>
  </r>
  <r>
    <x v="0"/>
    <s v="600 Mbps"/>
    <n v="1"/>
    <n v="72.989999999999995"/>
    <s v="CONSULTOR 1"/>
    <n v="72.989999999999995"/>
  </r>
  <r>
    <x v="0"/>
    <s v="Vivo Fixo Ilimitado Empresas BRASIL"/>
    <n v="1"/>
    <n v="21"/>
    <s v="CONSULTOR 1"/>
    <n v="21"/>
  </r>
  <r>
    <x v="0"/>
    <s v="Vivo Fixo Ilimitado Empresas BRASIL"/>
    <n v="1"/>
    <n v="30"/>
    <s v="CONSULTOR 1"/>
    <n v="30"/>
  </r>
  <r>
    <x v="0"/>
    <s v="Skeelo Promo"/>
    <n v="1"/>
    <n v="26"/>
    <s v="CONSULTOR 1"/>
    <n v="26"/>
  </r>
  <r>
    <x v="0"/>
    <s v="700 Mbps"/>
    <n v="1"/>
    <n v="73.989999999999995"/>
    <s v="CONSULTOR 2"/>
    <n v="73.989999999999995"/>
  </r>
  <r>
    <x v="0"/>
    <s v="Skeelo Promo"/>
    <n v="1"/>
    <n v="26"/>
    <s v="CONSULTOR 2"/>
    <n v="26"/>
  </r>
  <r>
    <x v="0"/>
    <s v="700 Mbps"/>
    <n v="1"/>
    <n v="73.989999999999995"/>
    <s v="CONSULTOR 2"/>
    <n v="73.989999999999995"/>
  </r>
  <r>
    <x v="0"/>
    <s v="Skeelo Promo"/>
    <n v="1"/>
    <n v="26"/>
    <s v="CONSULTOR 2"/>
    <n v="26"/>
  </r>
  <r>
    <x v="2"/>
    <s v="SMART EMPRESAS 100GB MAS"/>
    <n v="1"/>
    <n v="99.99"/>
    <s v="CONSULTOR 2"/>
    <n v="99.99"/>
  </r>
  <r>
    <x v="2"/>
    <s v="SMART EMPRESAS 100GB MAS"/>
    <n v="1"/>
    <n v="99.99"/>
    <s v="CONSULTOR 2"/>
    <n v="99.99"/>
  </r>
  <r>
    <x v="1"/>
    <s v="SMART EMPRESAS 1GB MAS"/>
    <n v="1"/>
    <n v="29.99"/>
    <s v="CONSULTOR 2"/>
    <n v="29.99"/>
  </r>
  <r>
    <x v="2"/>
    <s v="SMART EMPRESAS 40GB MAS"/>
    <n v="1"/>
    <n v="79.989999999999995"/>
    <s v="CONSULTOR 2"/>
    <n v="79.989999999999995"/>
  </r>
  <r>
    <x v="2"/>
    <s v="SMART EMPRESAS 6GB MAS"/>
    <n v="1"/>
    <n v="39.99"/>
    <s v="CONSULTOR 2"/>
    <n v="39.99"/>
  </r>
  <r>
    <x v="2"/>
    <s v="SMART EMPRESAS 6GB MAS"/>
    <n v="1"/>
    <n v="39.99"/>
    <s v="CONSULTOR 2"/>
    <n v="39.99"/>
  </r>
  <r>
    <x v="2"/>
    <s v="SMART EMPRESAS 6GB MAS"/>
    <n v="1"/>
    <n v="39.99"/>
    <s v="CONSULTOR 2"/>
    <n v="39.99"/>
  </r>
  <r>
    <x v="2"/>
    <s v="SMART EMPRESAS 6GB MAS"/>
    <n v="1"/>
    <n v="39.99"/>
    <s v="CONSULTOR 2"/>
    <n v="39.99"/>
  </r>
  <r>
    <x v="2"/>
    <s v="SMART EMPRESAS 6GB MAS"/>
    <n v="1"/>
    <n v="39.99"/>
    <s v="CONSULTOR 2"/>
    <n v="39.99"/>
  </r>
  <r>
    <x v="2"/>
    <s v="SMART EMPRESAS 6GB MAS"/>
    <n v="1"/>
    <n v="39.99"/>
    <s v="CONSULTOR 2"/>
    <n v="39.99"/>
  </r>
  <r>
    <x v="2"/>
    <s v="SMART EMPRESAS 6GB MAS"/>
    <n v="1"/>
    <n v="39.99"/>
    <s v="CONSULTOR 2"/>
    <n v="39.99"/>
  </r>
  <r>
    <x v="2"/>
    <s v="SMART EMPRESAS 6GB MAS"/>
    <n v="1"/>
    <n v="39.99"/>
    <s v="CONSULTOR 2"/>
    <n v="39.99"/>
  </r>
  <r>
    <x v="2"/>
    <s v="SMART EMPRESAS 6GB MAS"/>
    <n v="1"/>
    <n v="39.99"/>
    <s v="CONSULTOR 2"/>
    <n v="39.99"/>
  </r>
  <r>
    <x v="2"/>
    <s v="SMART EMPRESAS 6GB MAS"/>
    <n v="1"/>
    <n v="39.99"/>
    <s v="CONSULTOR 2"/>
    <n v="39.99"/>
  </r>
  <r>
    <x v="2"/>
    <s v="SMART EMPRESAS 6GB MAS"/>
    <n v="1"/>
    <n v="39.99"/>
    <s v="CONSULTOR 2"/>
    <n v="39.99"/>
  </r>
  <r>
    <x v="2"/>
    <s v="SMART EMPRESAS 6GB MAS"/>
    <n v="1"/>
    <n v="39.99"/>
    <s v="CONSULTOR 2"/>
    <n v="39.99"/>
  </r>
  <r>
    <x v="2"/>
    <s v="SMART EMPRESAS 6GB MAS"/>
    <n v="1"/>
    <n v="39.99"/>
    <s v="CONSULTOR 2"/>
    <n v="39.99"/>
  </r>
  <r>
    <x v="2"/>
    <s v="SMART EMPRESAS 6GB MAS"/>
    <n v="1"/>
    <n v="39.99"/>
    <s v="CONSULTOR 2"/>
    <n v="39.99"/>
  </r>
  <r>
    <x v="2"/>
    <s v="SMART EMPRESAS 6GB MAS"/>
    <n v="1"/>
    <n v="39.99"/>
    <s v="CONSULTOR 2"/>
    <n v="39.99"/>
  </r>
  <r>
    <x v="1"/>
    <s v="SMART EMPRESAS 1GB MAS"/>
    <n v="1"/>
    <n v="29.99"/>
    <s v="CONSULTOR 2"/>
    <n v="29.99"/>
  </r>
  <r>
    <x v="1"/>
    <s v="SMART EMPRESAS 1GB MAS"/>
    <n v="1"/>
    <n v="29.99"/>
    <s v="CONSULTOR 2"/>
    <n v="29.99"/>
  </r>
  <r>
    <x v="1"/>
    <s v="SMART EMPRESAS 1GB MAS"/>
    <n v="1"/>
    <n v="29.99"/>
    <s v="CONSULTOR 2"/>
    <n v="29.99"/>
  </r>
  <r>
    <x v="1"/>
    <s v="SMART EMPRESAS 6GB MAS"/>
    <n v="1"/>
    <n v="39.99"/>
    <s v="CONSULTOR 2"/>
    <n v="39.99"/>
  </r>
  <r>
    <x v="1"/>
    <s v="SMART EMPRESAS 10GB MAS"/>
    <n v="1"/>
    <n v="44.99"/>
    <s v="CONSULTOR 2"/>
    <n v="44.99"/>
  </r>
  <r>
    <x v="1"/>
    <s v="SMART EMPRESAS 1GB MAS"/>
    <n v="1"/>
    <n v="29.99"/>
    <s v="CONSULTOR 2"/>
    <n v="29.99"/>
  </r>
  <r>
    <x v="1"/>
    <s v="SMART EMPRESAS 1GB MAS"/>
    <n v="1"/>
    <n v="29.99"/>
    <s v="CONSULTOR 2"/>
    <n v="29.99"/>
  </r>
  <r>
    <x v="1"/>
    <s v="SMART EMPRESAS 1GB MAS"/>
    <n v="1"/>
    <n v="29.99"/>
    <s v="CONSULTOR 2"/>
    <n v="29.99"/>
  </r>
  <r>
    <x v="2"/>
    <s v="SMART EMPRESAS 100GB MAS"/>
    <n v="1"/>
    <n v="99.99"/>
    <s v="CONSULTOR 2"/>
    <n v="99.99"/>
  </r>
  <r>
    <x v="1"/>
    <s v="SMART EMPRESAS 1GB MAS"/>
    <n v="1"/>
    <n v="29.99"/>
    <s v="CONSULTOR 2"/>
    <n v="29.99"/>
  </r>
  <r>
    <x v="1"/>
    <s v="SMART EMPRESAS 1GB MAS"/>
    <n v="1"/>
    <n v="29.99"/>
    <s v="CONSULTOR 2"/>
    <n v="29.99"/>
  </r>
  <r>
    <x v="1"/>
    <s v="SMART EMPRESAS 1GB MAS"/>
    <n v="1"/>
    <n v="29.99"/>
    <s v="CONSULTOR 2"/>
    <n v="29.99"/>
  </r>
  <r>
    <x v="1"/>
    <s v="SMART EMPRESAS 1GB MAS"/>
    <n v="1"/>
    <n v="29.99"/>
    <s v="CONSULTOR 2"/>
    <n v="29.99"/>
  </r>
  <r>
    <x v="1"/>
    <s v="SMART EMPRESAS 1GB MAS"/>
    <n v="1"/>
    <n v="29.99"/>
    <s v="CONSULTOR 2"/>
    <n v="29.99"/>
  </r>
  <r>
    <x v="1"/>
    <s v="SMART EMPRESAS 1GB MAS"/>
    <n v="1"/>
    <n v="29.99"/>
    <s v="CONSULTOR 2"/>
    <n v="29.99"/>
  </r>
  <r>
    <x v="1"/>
    <s v="SMART EMPRESAS 1GB MAS"/>
    <n v="1"/>
    <n v="29.99"/>
    <s v="CONSULTOR 2"/>
    <n v="29.99"/>
  </r>
  <r>
    <x v="1"/>
    <s v="SMART EMPRESAS 1GB MAS"/>
    <n v="1"/>
    <n v="29.99"/>
    <s v="CONSULTOR 2"/>
    <n v="29.99"/>
  </r>
  <r>
    <x v="1"/>
    <s v="SMART EMPRESAS 1GB MAS"/>
    <n v="1"/>
    <n v="29.99"/>
    <s v="CONSULTOR 2"/>
    <n v="29.99"/>
  </r>
  <r>
    <x v="1"/>
    <s v="SMART EMPRESAS 1GB MAS"/>
    <n v="1"/>
    <n v="29.99"/>
    <s v="CONSULTOR 2"/>
    <n v="29.99"/>
  </r>
  <r>
    <x v="1"/>
    <s v="SMART EMPRESAS 1GB MAS"/>
    <n v="1"/>
    <n v="29.99"/>
    <s v="CONSULTOR 2"/>
    <n v="29.99"/>
  </r>
  <r>
    <x v="1"/>
    <s v="SMART EMPRESAS 1GB MAS"/>
    <n v="1"/>
    <n v="29.99"/>
    <s v="CONSULTOR 2"/>
    <n v="29.99"/>
  </r>
  <r>
    <x v="1"/>
    <s v="SMART EMPRESAS 1GB MAS"/>
    <n v="1"/>
    <n v="29.99"/>
    <s v="CONSULTOR 2"/>
    <n v="29.99"/>
  </r>
  <r>
    <x v="2"/>
    <s v="SMART EMPRESAS 100GB MAS"/>
    <n v="1"/>
    <n v="99.99"/>
    <s v="CONSULTOR 2"/>
    <n v="99.99"/>
  </r>
  <r>
    <x v="1"/>
    <s v="SMART EMPRESAS 1GB MAS"/>
    <n v="1"/>
    <n v="29.99"/>
    <s v="CONSULTOR 2"/>
    <n v="29.99"/>
  </r>
  <r>
    <x v="1"/>
    <s v="SMART EMPRESAS 1GB MAS"/>
    <n v="1"/>
    <n v="29.99"/>
    <s v="CONSULTOR 2"/>
    <n v="29.99"/>
  </r>
  <r>
    <x v="1"/>
    <s v="SMART EMPRESAS 1GB MAS"/>
    <n v="1"/>
    <n v="29.99"/>
    <s v="CONSULTOR 2"/>
    <n v="29.99"/>
  </r>
  <r>
    <x v="1"/>
    <s v="SMART EMPRESAS 1GB MAS"/>
    <n v="1"/>
    <n v="29.99"/>
    <s v="CONSULTOR 2"/>
    <n v="29.99"/>
  </r>
  <r>
    <x v="1"/>
    <s v="SMART EMPRESAS 1GB MAS"/>
    <n v="1"/>
    <n v="29.99"/>
    <s v="CONSULTOR 2"/>
    <n v="29.99"/>
  </r>
  <r>
    <x v="1"/>
    <s v="SMART EMPRESAS 1GB MAS"/>
    <n v="1"/>
    <n v="29.99"/>
    <s v="CONSULTOR 2"/>
    <n v="29.99"/>
  </r>
  <r>
    <x v="1"/>
    <s v="SMART EMPRESAS 1GB MAS"/>
    <n v="1"/>
    <n v="29.99"/>
    <s v="CONSULTOR 2"/>
    <n v="29.99"/>
  </r>
  <r>
    <x v="1"/>
    <s v="SMART EMPRESAS 1GB MAS"/>
    <n v="1"/>
    <n v="29.99"/>
    <s v="CONSULTOR 2"/>
    <n v="29.99"/>
  </r>
  <r>
    <x v="1"/>
    <s v="SMART EMPRESAS 1GB MAS"/>
    <n v="1"/>
    <n v="29.99"/>
    <s v="CONSULTOR 2"/>
    <n v="29.99"/>
  </r>
  <r>
    <x v="1"/>
    <s v="SMART EMPRESAS 1GB MAS"/>
    <n v="1"/>
    <n v="29.99"/>
    <s v="CONSULTOR 2"/>
    <n v="29.99"/>
  </r>
  <r>
    <x v="1"/>
    <s v="SMART EMPRESAS 1GB MAS"/>
    <n v="1"/>
    <n v="29.99"/>
    <s v="CONSULTOR 2"/>
    <n v="29.99"/>
  </r>
  <r>
    <x v="1"/>
    <s v="SMART EMPRESAS 1GB MAS"/>
    <n v="1"/>
    <n v="29.99"/>
    <s v="CONSULTOR 2"/>
    <n v="29.99"/>
  </r>
  <r>
    <x v="1"/>
    <s v="SMART EMPRESAS 1GB MAS"/>
    <n v="1"/>
    <n v="29.99"/>
    <s v="CONSULTOR 2"/>
    <n v="29.99"/>
  </r>
  <r>
    <x v="1"/>
    <s v="SMART EMPRESAS 1GB MAS"/>
    <n v="1"/>
    <n v="29.99"/>
    <s v="CONSULTOR 2"/>
    <n v="29.99"/>
  </r>
  <r>
    <x v="1"/>
    <s v="SMART EMPRESAS 1GB MAS"/>
    <n v="1"/>
    <n v="29.99"/>
    <s v="CONSULTOR 2"/>
    <n v="29.99"/>
  </r>
  <r>
    <x v="1"/>
    <s v="SMART EMPRESAS 20GB MAS"/>
    <n v="1"/>
    <n v="59.99"/>
    <s v="CONSULTOR 2"/>
    <n v="59.99"/>
  </r>
  <r>
    <x v="1"/>
    <s v="SMART EMPRESAS 100GB MAS"/>
    <n v="1"/>
    <n v="99.99"/>
    <s v="CONSULTOR 2"/>
    <n v="99.99"/>
  </r>
  <r>
    <x v="1"/>
    <s v="SMART EMPRESAS 100GB MAS"/>
    <n v="1"/>
    <n v="99.99"/>
    <s v="CONSULTOR 2"/>
    <n v="99.99"/>
  </r>
  <r>
    <x v="2"/>
    <s v="SMART EMPRESAS 100GB MAS"/>
    <n v="1"/>
    <n v="99.99"/>
    <s v="CONSULTOR 2"/>
    <n v="99.99"/>
  </r>
  <r>
    <x v="1"/>
    <s v="SMART EMPRESAS 1GB MAS"/>
    <n v="1"/>
    <n v="29.99"/>
    <s v="CONSULTOR 2"/>
    <n v="29.99"/>
  </r>
  <r>
    <x v="1"/>
    <s v="SMART EMPRESAS 1GB MAS"/>
    <n v="1"/>
    <n v="29.99"/>
    <s v="CONSULTOR 2"/>
    <n v="29.99"/>
  </r>
  <r>
    <x v="1"/>
    <s v="SMART EMPRESAS 12GB MAS"/>
    <n v="1"/>
    <n v="49.99"/>
    <s v="CONSULTOR 2"/>
    <n v="49.99"/>
  </r>
  <r>
    <x v="1"/>
    <s v="SMART EMPRESAS 1GB MAS"/>
    <n v="1"/>
    <n v="29.99"/>
    <s v="CONSULTOR 2"/>
    <n v="29.99"/>
  </r>
  <r>
    <x v="1"/>
    <s v="SMART EMPRESAS 1GB MAS"/>
    <n v="1"/>
    <n v="29.99"/>
    <s v="CONSULTOR 2"/>
    <n v="29.99"/>
  </r>
  <r>
    <x v="2"/>
    <s v="SMART EMPRESAS 100GB MAS"/>
    <n v="1"/>
    <n v="99.99"/>
    <s v="CONSULTOR 2"/>
    <n v="99.99"/>
  </r>
  <r>
    <x v="1"/>
    <s v="SMART EMPRESAS 1GB MAS"/>
    <n v="1"/>
    <n v="29.99"/>
    <s v="CONSULTOR 2"/>
    <n v="29.99"/>
  </r>
  <r>
    <x v="1"/>
    <s v="SMART EMPRESAS 1GB MAS"/>
    <n v="1"/>
    <n v="29.99"/>
    <s v="CONSULTOR 2"/>
    <n v="29.99"/>
  </r>
  <r>
    <x v="1"/>
    <s v="SMART EMPRESAS 1GB MAS"/>
    <n v="1"/>
    <n v="29.99"/>
    <s v="CONSULTOR 2"/>
    <n v="29.99"/>
  </r>
  <r>
    <x v="1"/>
    <s v="SMART EMPRESAS 1GB MAS"/>
    <n v="1"/>
    <n v="29.99"/>
    <s v="CONSULTOR 2"/>
    <n v="29.99"/>
  </r>
  <r>
    <x v="1"/>
    <s v="SMART EMPRESAS 1GB MAS"/>
    <n v="1"/>
    <n v="29.99"/>
    <s v="CONSULTOR 2"/>
    <n v="29.99"/>
  </r>
  <r>
    <x v="1"/>
    <s v="SMART EMPRESAS 1GB MAS"/>
    <n v="1"/>
    <n v="29.99"/>
    <s v="CONSULTOR 2"/>
    <n v="29.99"/>
  </r>
  <r>
    <x v="1"/>
    <s v="SMART EMPRESAS 1GB MAS"/>
    <n v="1"/>
    <n v="29.99"/>
    <s v="CONSULTOR 2"/>
    <n v="29.99"/>
  </r>
  <r>
    <x v="1"/>
    <s v="SMART EMPRESAS 1GB MAS"/>
    <n v="1"/>
    <n v="29.99"/>
    <s v="CONSULTOR 2"/>
    <n v="29.99"/>
  </r>
  <r>
    <x v="1"/>
    <s v="SMART EMPRESAS 1GB MAS"/>
    <n v="1"/>
    <n v="29.99"/>
    <s v="CONSULTOR 2"/>
    <n v="29.99"/>
  </r>
  <r>
    <x v="1"/>
    <s v="SMART EMPRESAS 1GB MAS"/>
    <n v="1"/>
    <n v="29.99"/>
    <s v="CONSULTOR 2"/>
    <n v="29.99"/>
  </r>
  <r>
    <x v="2"/>
    <s v="SMART EMPRESAS 15GB MAS"/>
    <n v="1"/>
    <n v="54.99"/>
    <s v="CONSULTOR 2"/>
    <n v="54.99"/>
  </r>
  <r>
    <x v="1"/>
    <s v="SMART EMPRESAS 1GB MAS"/>
    <n v="1"/>
    <n v="29.99"/>
    <s v="CONSULTOR 2"/>
    <n v="29.99"/>
  </r>
  <r>
    <x v="1"/>
    <s v="SMART EMPRESAS 1GB MAS"/>
    <n v="1"/>
    <n v="29.99"/>
    <s v="CONSULTOR 2"/>
    <n v="29.99"/>
  </r>
  <r>
    <x v="2"/>
    <s v="SMART EMPRESAS 100GB MAS"/>
    <n v="1"/>
    <n v="99.99"/>
    <s v="CONSULTOR 2"/>
    <n v="99.99"/>
  </r>
  <r>
    <x v="1"/>
    <s v="SMART EMPRESAS 1GB MAS"/>
    <n v="1"/>
    <n v="29.99"/>
    <s v="CONSULTOR 2"/>
    <n v="29.99"/>
  </r>
  <r>
    <x v="1"/>
    <s v="SMART EMPRESAS 1GB MAS"/>
    <n v="1"/>
    <n v="29.99"/>
    <s v="CONSULTOR 2"/>
    <n v="29.99"/>
  </r>
  <r>
    <x v="1"/>
    <s v="SMART EMPRESAS 1GB MAS"/>
    <n v="1"/>
    <n v="29.99"/>
    <s v="CONSULTOR 2"/>
    <n v="29.99"/>
  </r>
  <r>
    <x v="9"/>
    <s v="Outros"/>
    <n v="1"/>
    <n v="500"/>
    <s v="CONSULTOR 2"/>
    <n v="500"/>
  </r>
  <r>
    <x v="10"/>
    <s v="VOZ AVANÇADA VIVO VOZ NEGOCIO"/>
    <n v="1"/>
    <n v="200"/>
    <s v="CONSULTOR 2"/>
    <n v="200"/>
  </r>
  <r>
    <x v="3"/>
    <m/>
    <n v="1"/>
    <n v="10"/>
    <s v="CONSULTOR 2"/>
    <n v="10"/>
  </r>
  <r>
    <x v="5"/>
    <s v="500 Mbps"/>
    <n v="1"/>
    <n v="63.99"/>
    <s v="CONSULTOR 2"/>
    <n v="63.99"/>
  </r>
  <r>
    <x v="5"/>
    <s v="Skeelo Promo"/>
    <n v="1"/>
    <n v="26"/>
    <s v="CONSULTOR 2"/>
    <n v="26"/>
  </r>
  <r>
    <x v="4"/>
    <s v="1P"/>
    <n v="1"/>
    <n v="100"/>
    <s v="CONSULTOR 2"/>
    <n v="100"/>
  </r>
  <r>
    <x v="9"/>
    <s v="0800 Ilimitado - 4 Chamadas Simultâneas"/>
    <n v="1"/>
    <n v="479"/>
    <s v="CONSULTOR 2"/>
    <n v="479"/>
  </r>
  <r>
    <x v="9"/>
    <s v="Internet Dedicada 30 Mega"/>
    <n v="1"/>
    <n v="500"/>
    <s v="CONSULTOR 2"/>
    <n v="5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7D5AB4-0AC7-4183-8619-8C9C3F048173}" name="Tabela dinâmica2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7">
  <location ref="A1:C5" firstHeaderRow="0" firstDataRow="1" firstDataCol="1"/>
  <pivotFields count="4">
    <pivotField axis="axisRow" showAll="0">
      <items count="4">
        <item x="0"/>
        <item x="1"/>
        <item x="2"/>
        <item t="default"/>
      </items>
    </pivotField>
    <pivotField dataField="1" showAll="0"/>
    <pivotField showAll="0"/>
    <pivotField dataField="1" numFmtId="165" showAl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Total vendas" fld="1" baseField="0" baseItem="0"/>
    <dataField name="Soma de Comissão" fld="3" baseField="0" baseItem="0" numFmtId="165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E10EA0-E89C-4401-BE30-7A8199AB86C8}" name="Tabela dinâmica5" cacheId="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7">
  <location ref="A1:B13" firstHeaderRow="1" firstDataRow="1" firstDataCol="1"/>
  <pivotFields count="4">
    <pivotField axis="axisRow" showAll="0" sortType="ascending">
      <items count="12">
        <item x="3"/>
        <item x="1"/>
        <item x="4"/>
        <item x="0"/>
        <item x="6"/>
        <item x="5"/>
        <item x="9"/>
        <item x="10"/>
        <item x="7"/>
        <item x="2"/>
        <item x="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numFmtId="44" showAll="0"/>
  </pivotFields>
  <rowFields count="1">
    <field x="0"/>
  </rowFields>
  <rowItems count="12">
    <i>
      <x v="7"/>
    </i>
    <i>
      <x v="8"/>
    </i>
    <i>
      <x/>
    </i>
    <i>
      <x v="6"/>
    </i>
    <i>
      <x v="5"/>
    </i>
    <i>
      <x v="4"/>
    </i>
    <i>
      <x v="10"/>
    </i>
    <i>
      <x v="2"/>
    </i>
    <i>
      <x v="3"/>
    </i>
    <i>
      <x v="9"/>
    </i>
    <i>
      <x v="1"/>
    </i>
    <i t="grand">
      <x/>
    </i>
  </rowItems>
  <colItems count="1">
    <i/>
  </colItems>
  <dataFields count="1">
    <dataField name="Soma de QUANTIDADE" fld="2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52C149-84DA-4798-B1B2-DA953C82AA78}" name="Tabela dinâmica7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">
  <location ref="A1:B13" firstHeaderRow="1" firstDataRow="1" firstDataCol="1"/>
  <pivotFields count="6">
    <pivotField axis="axisRow" showAll="0" sortType="ascending">
      <items count="12">
        <item x="8"/>
        <item x="2"/>
        <item x="7"/>
        <item x="10"/>
        <item x="9"/>
        <item x="5"/>
        <item x="6"/>
        <item x="0"/>
        <item x="4"/>
        <item x="1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numFmtId="44" showAll="0"/>
    <pivotField showAll="0"/>
    <pivotField dataField="1" numFmtId="44" showAll="0"/>
  </pivotFields>
  <rowFields count="1">
    <field x="0"/>
  </rowFields>
  <rowItems count="12">
    <i>
      <x v="10"/>
    </i>
    <i>
      <x v="2"/>
    </i>
    <i>
      <x/>
    </i>
    <i>
      <x v="6"/>
    </i>
    <i>
      <x v="5"/>
    </i>
    <i>
      <x v="3"/>
    </i>
    <i>
      <x v="7"/>
    </i>
    <i>
      <x v="8"/>
    </i>
    <i>
      <x v="4"/>
    </i>
    <i>
      <x v="1"/>
    </i>
    <i>
      <x v="9"/>
    </i>
    <i t="grand">
      <x/>
    </i>
  </rowItems>
  <colItems count="1">
    <i/>
  </colItems>
  <dataFields count="1">
    <dataField name="Soma de valor total" fld="5" baseField="0" baseItem="0" numFmtId="44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711161-0579-4689-9003-830217C9BFEF}">
  <dimension ref="A1:U272"/>
  <sheetViews>
    <sheetView workbookViewId="0">
      <selection activeCell="B1" sqref="B1:G272"/>
    </sheetView>
  </sheetViews>
  <sheetFormatPr defaultRowHeight="14.4" x14ac:dyDescent="0.3"/>
  <cols>
    <col min="1" max="1" width="10.109375" bestFit="1" customWidth="1"/>
    <col min="2" max="2" width="21.77734375" bestFit="1" customWidth="1"/>
    <col min="3" max="3" width="25.44140625" bestFit="1" customWidth="1"/>
    <col min="4" max="4" width="25.44140625" customWidth="1"/>
    <col min="5" max="5" width="16.5546875" bestFit="1" customWidth="1"/>
    <col min="6" max="6" width="13.77734375" bestFit="1" customWidth="1"/>
    <col min="7" max="7" width="10.33203125" bestFit="1" customWidth="1"/>
    <col min="8" max="10" width="19" customWidth="1"/>
    <col min="11" max="11" width="18.5546875" bestFit="1" customWidth="1"/>
    <col min="16" max="16" width="18.5546875" bestFit="1" customWidth="1"/>
    <col min="18" max="18" width="12.6640625" bestFit="1" customWidth="1"/>
    <col min="21" max="21" width="10.5546875" bestFit="1" customWidth="1"/>
  </cols>
  <sheetData>
    <row r="1" spans="1:21" x14ac:dyDescent="0.3">
      <c r="A1" s="2" t="s">
        <v>91</v>
      </c>
      <c r="B1" s="4" t="s">
        <v>95</v>
      </c>
      <c r="C1" s="1" t="s">
        <v>1</v>
      </c>
      <c r="D1" s="1" t="s">
        <v>0</v>
      </c>
      <c r="E1" s="3" t="s">
        <v>2</v>
      </c>
      <c r="F1" s="5" t="s">
        <v>4</v>
      </c>
      <c r="G1" t="s">
        <v>99</v>
      </c>
      <c r="H1" t="s">
        <v>100</v>
      </c>
      <c r="I1" t="s">
        <v>103</v>
      </c>
      <c r="J1" t="s">
        <v>104</v>
      </c>
    </row>
    <row r="2" spans="1:21" x14ac:dyDescent="0.3">
      <c r="A2" s="7" t="s">
        <v>41</v>
      </c>
      <c r="B2" s="6" t="s">
        <v>5</v>
      </c>
      <c r="C2" s="6" t="s">
        <v>3</v>
      </c>
      <c r="D2" s="6">
        <v>1</v>
      </c>
      <c r="E2" s="8">
        <v>73.989999999999995</v>
      </c>
      <c r="F2" s="6" t="s">
        <v>92</v>
      </c>
      <c r="G2" s="12">
        <f>D2*E2</f>
        <v>73.989999999999995</v>
      </c>
      <c r="H2">
        <f>IF(B2="Básica - Campanha Renovação",0,IF(B2="Campanha Renovação - Móvel",10*D2,IF(B2="Básica PF",G2*0.5,G2)))</f>
        <v>73.989999999999995</v>
      </c>
      <c r="I2">
        <f>VLOOKUP(F2,$R$4:$T$6,3,FALSE)</f>
        <v>1</v>
      </c>
      <c r="J2" s="10" cm="1">
        <f t="array" ref="J2">IFERROR(
IF(B2="Campanha Renovação - Móvel",
D2*INDEX($L$3:$N$13,MATCH(B2,$K$3:$K$13,0),I2),
G2*INDEX($L$3:$N$13,MATCH(B2,$K$3:$K$13,0),I2)
),
0)</f>
        <v>0</v>
      </c>
      <c r="L2" t="s">
        <v>96</v>
      </c>
      <c r="M2" t="s">
        <v>97</v>
      </c>
      <c r="N2" t="s">
        <v>98</v>
      </c>
      <c r="P2" s="6" t="s">
        <v>5</v>
      </c>
    </row>
    <row r="3" spans="1:21" x14ac:dyDescent="0.3">
      <c r="A3" s="7" t="s">
        <v>41</v>
      </c>
      <c r="B3" s="6" t="s">
        <v>5</v>
      </c>
      <c r="C3" s="6" t="s">
        <v>6</v>
      </c>
      <c r="D3" s="6">
        <v>1</v>
      </c>
      <c r="E3" s="8">
        <v>26</v>
      </c>
      <c r="F3" s="6" t="s">
        <v>92</v>
      </c>
      <c r="G3" s="12">
        <f t="shared" ref="G3:G66" si="0">D3*E3</f>
        <v>26</v>
      </c>
      <c r="H3">
        <f t="shared" ref="H3:H66" si="1">IF(B3="Básica - Campanha Renovação",0,IF(B3="Campanha Renovação - Móvel",10*D3,IF(B3="Básica PF",G3*0.5,G3)))</f>
        <v>26</v>
      </c>
      <c r="I3">
        <f t="shared" ref="I3:I66" si="2">VLOOKUP(F3,$R$4:$T$6,3,FALSE)</f>
        <v>1</v>
      </c>
      <c r="J3" s="10" cm="1">
        <f t="array" ref="J3">IFERROR(
IF(B3="Campanha Renovação - Móvel",
D3*INDEX($L$3:$N$13,MATCH(B3,$K$3:$K$13,0),I3),
G3*INDEX($L$3:$N$13,MATCH(B3,$K$3:$K$13,0),I3)
),
0)</f>
        <v>0</v>
      </c>
      <c r="K3" s="6" t="s">
        <v>27</v>
      </c>
      <c r="L3" s="9">
        <v>0</v>
      </c>
      <c r="M3" s="9">
        <v>0.5</v>
      </c>
      <c r="N3" s="9">
        <v>0.8</v>
      </c>
      <c r="P3" s="6" t="s">
        <v>8</v>
      </c>
      <c r="R3" t="s">
        <v>101</v>
      </c>
      <c r="S3" t="s">
        <v>110</v>
      </c>
      <c r="T3" t="s">
        <v>102</v>
      </c>
      <c r="U3" t="s">
        <v>105</v>
      </c>
    </row>
    <row r="4" spans="1:21" x14ac:dyDescent="0.3">
      <c r="A4" s="7" t="s">
        <v>42</v>
      </c>
      <c r="B4" s="6" t="s">
        <v>8</v>
      </c>
      <c r="C4" s="6" t="s">
        <v>7</v>
      </c>
      <c r="D4" s="6">
        <v>1</v>
      </c>
      <c r="E4" s="8">
        <v>29.99</v>
      </c>
      <c r="F4" s="6" t="s">
        <v>92</v>
      </c>
      <c r="G4" s="12">
        <f t="shared" si="0"/>
        <v>29.99</v>
      </c>
      <c r="H4">
        <f t="shared" si="1"/>
        <v>10</v>
      </c>
      <c r="I4">
        <f t="shared" si="2"/>
        <v>1</v>
      </c>
      <c r="J4" s="10" cm="1">
        <f t="array" ref="J4">IFERROR(
IF(B4="Campanha Renovação - Móvel",
D4*INDEX($L$3:$N$13,MATCH(B4,$K$3:$K$13,0),I4),
G4*INDEX($L$3:$N$13,MATCH(B4,$K$3:$K$13,0),I4)
),
0)</f>
        <v>0</v>
      </c>
      <c r="K4" s="6" t="s">
        <v>10</v>
      </c>
      <c r="L4" s="9">
        <v>0</v>
      </c>
      <c r="M4" s="9">
        <v>1</v>
      </c>
      <c r="N4" s="9">
        <v>1.5</v>
      </c>
      <c r="P4" s="6" t="s">
        <v>10</v>
      </c>
      <c r="R4" t="s">
        <v>93</v>
      </c>
      <c r="S4">
        <f>SUMIF($F$2:$F$272,R4,$H$2:$H$272)</f>
        <v>2964.7599999999979</v>
      </c>
      <c r="T4">
        <f>IF(S4&lt;2000,1,IF(S4&lt;4000,2,3))</f>
        <v>2</v>
      </c>
      <c r="U4" s="11">
        <f>SUMIF($F:$F,R4,$J:$J)</f>
        <v>2973.7519999999981</v>
      </c>
    </row>
    <row r="5" spans="1:21" x14ac:dyDescent="0.3">
      <c r="A5" s="7" t="s">
        <v>42</v>
      </c>
      <c r="B5" s="6" t="s">
        <v>10</v>
      </c>
      <c r="C5" s="6" t="s">
        <v>9</v>
      </c>
      <c r="D5" s="6">
        <v>1</v>
      </c>
      <c r="E5" s="8">
        <v>99.99</v>
      </c>
      <c r="F5" s="6" t="s">
        <v>92</v>
      </c>
      <c r="G5" s="12">
        <f t="shared" si="0"/>
        <v>99.99</v>
      </c>
      <c r="H5">
        <f t="shared" si="1"/>
        <v>99.99</v>
      </c>
      <c r="I5">
        <f t="shared" si="2"/>
        <v>1</v>
      </c>
      <c r="J5" s="10" cm="1">
        <f t="array" ref="J5">IFERROR(
IF(B5="Campanha Renovação - Móvel",
D5*INDEX($L$3:$N$13,MATCH(B5,$K$3:$K$13,0),I5),
G5*INDEX($L$3:$N$13,MATCH(B5,$K$3:$K$13,0),I5)
),
0)</f>
        <v>0</v>
      </c>
      <c r="K5" s="6" t="s">
        <v>25</v>
      </c>
      <c r="L5" s="9">
        <v>0</v>
      </c>
      <c r="M5" s="9">
        <v>1.5</v>
      </c>
      <c r="N5" s="9">
        <v>2</v>
      </c>
      <c r="P5" s="6" t="s">
        <v>16</v>
      </c>
      <c r="R5" t="s">
        <v>94</v>
      </c>
      <c r="S5">
        <f>SUMIF($F$2:$F$272,R5,$H$2:$H$272)</f>
        <v>4063.7299999999996</v>
      </c>
      <c r="T5">
        <f>IF(S5&lt;2000,1,IF(S5&lt;4000,2,3))</f>
        <v>3</v>
      </c>
      <c r="U5" s="11">
        <f>SUMIF($F:$F,R5,$J:$J)</f>
        <v>6270.5999999999985</v>
      </c>
    </row>
    <row r="6" spans="1:21" x14ac:dyDescent="0.3">
      <c r="A6" s="7" t="s">
        <v>42</v>
      </c>
      <c r="B6" s="6" t="s">
        <v>10</v>
      </c>
      <c r="C6" s="6" t="s">
        <v>11</v>
      </c>
      <c r="D6" s="6">
        <v>1</v>
      </c>
      <c r="E6" s="8">
        <v>39.99</v>
      </c>
      <c r="F6" s="6" t="s">
        <v>92</v>
      </c>
      <c r="G6" s="12">
        <f t="shared" si="0"/>
        <v>39.99</v>
      </c>
      <c r="H6">
        <f t="shared" si="1"/>
        <v>39.99</v>
      </c>
      <c r="I6">
        <f t="shared" si="2"/>
        <v>1</v>
      </c>
      <c r="J6" s="10" cm="1">
        <f t="array" ref="J6">IFERROR(
IF(B6="Campanha Renovação - Móvel",
D6*INDEX($L$3:$N$13,MATCH(B6,$K$3:$K$13,0),I6),
G6*INDEX($L$3:$N$13,MATCH(B6,$K$3:$K$13,0),I6)
),
0)</f>
        <v>0</v>
      </c>
      <c r="K6" s="6" t="s">
        <v>38</v>
      </c>
      <c r="L6" s="9">
        <v>0</v>
      </c>
      <c r="M6" s="9">
        <v>0.8</v>
      </c>
      <c r="N6" s="9">
        <v>1</v>
      </c>
      <c r="P6" s="6" t="s">
        <v>18</v>
      </c>
      <c r="R6" t="s">
        <v>92</v>
      </c>
      <c r="S6">
        <f>SUMIF($F$2:$F$272,R6,$H$2:$H$272)</f>
        <v>1374.92</v>
      </c>
      <c r="T6">
        <f>IF(S6&lt;2000,1,IF(S6&lt;4000,2,3))</f>
        <v>1</v>
      </c>
      <c r="U6" s="11">
        <f>SUMIF($F:$F,R6,$J:$J)</f>
        <v>0</v>
      </c>
    </row>
    <row r="7" spans="1:21" x14ac:dyDescent="0.3">
      <c r="A7" s="7" t="s">
        <v>42</v>
      </c>
      <c r="B7" s="6" t="s">
        <v>8</v>
      </c>
      <c r="C7" s="6" t="s">
        <v>7</v>
      </c>
      <c r="D7" s="6">
        <v>1</v>
      </c>
      <c r="E7" s="8">
        <v>29.99</v>
      </c>
      <c r="F7" s="6" t="s">
        <v>92</v>
      </c>
      <c r="G7" s="12">
        <f t="shared" si="0"/>
        <v>29.99</v>
      </c>
      <c r="H7">
        <f t="shared" si="1"/>
        <v>10</v>
      </c>
      <c r="I7">
        <f t="shared" si="2"/>
        <v>1</v>
      </c>
      <c r="J7" s="10" cm="1">
        <f t="array" ref="J7">IFERROR(
IF(B7="Campanha Renovação - Móvel",
D7*INDEX($L$3:$N$13,MATCH(B7,$K$3:$K$13,0),I7),
G7*INDEX($L$3:$N$13,MATCH(B7,$K$3:$K$13,0),I7)
),
0)</f>
        <v>0</v>
      </c>
      <c r="K7" s="6" t="s">
        <v>36</v>
      </c>
      <c r="L7" s="9">
        <v>0</v>
      </c>
      <c r="M7" s="9">
        <v>1</v>
      </c>
      <c r="N7" s="9">
        <v>1.5</v>
      </c>
      <c r="P7" s="6" t="s">
        <v>20</v>
      </c>
    </row>
    <row r="8" spans="1:21" x14ac:dyDescent="0.3">
      <c r="A8" s="7" t="s">
        <v>42</v>
      </c>
      <c r="B8" s="6" t="s">
        <v>8</v>
      </c>
      <c r="C8" s="6" t="s">
        <v>7</v>
      </c>
      <c r="D8" s="6">
        <v>1</v>
      </c>
      <c r="E8" s="8">
        <v>29.99</v>
      </c>
      <c r="F8" s="6" t="s">
        <v>92</v>
      </c>
      <c r="G8" s="12">
        <f t="shared" si="0"/>
        <v>29.99</v>
      </c>
      <c r="H8">
        <f t="shared" si="1"/>
        <v>10</v>
      </c>
      <c r="I8">
        <f t="shared" si="2"/>
        <v>1</v>
      </c>
      <c r="J8" s="10" cm="1">
        <f t="array" ref="J8">IFERROR(
IF(B8="Campanha Renovação - Móvel",
D8*INDEX($L$3:$N$13,MATCH(B8,$K$3:$K$13,0),I8),
G8*INDEX($L$3:$N$13,MATCH(B8,$K$3:$K$13,0),I8)
),
0)</f>
        <v>0</v>
      </c>
      <c r="K8" s="6" t="s">
        <v>20</v>
      </c>
      <c r="L8" s="9">
        <v>0</v>
      </c>
      <c r="M8" s="9">
        <v>0.8</v>
      </c>
      <c r="N8" s="9">
        <v>1</v>
      </c>
      <c r="P8" s="6" t="s">
        <v>22</v>
      </c>
    </row>
    <row r="9" spans="1:21" x14ac:dyDescent="0.3">
      <c r="A9" s="7" t="s">
        <v>42</v>
      </c>
      <c r="B9" s="6" t="s">
        <v>8</v>
      </c>
      <c r="C9" s="6" t="s">
        <v>7</v>
      </c>
      <c r="D9" s="6">
        <v>1</v>
      </c>
      <c r="E9" s="8">
        <v>29.99</v>
      </c>
      <c r="F9" s="6" t="s">
        <v>92</v>
      </c>
      <c r="G9" s="12">
        <f t="shared" si="0"/>
        <v>29.99</v>
      </c>
      <c r="H9">
        <f t="shared" si="1"/>
        <v>10</v>
      </c>
      <c r="I9">
        <f t="shared" si="2"/>
        <v>1</v>
      </c>
      <c r="J9" s="10" cm="1">
        <f t="array" ref="J9">IFERROR(
IF(B9="Campanha Renovação - Móvel",
D9*INDEX($L$3:$N$13,MATCH(B9,$K$3:$K$13,0),I9),
G9*INDEX($L$3:$N$13,MATCH(B9,$K$3:$K$13,0),I9)
),
0)</f>
        <v>0</v>
      </c>
      <c r="K9" s="6" t="s">
        <v>22</v>
      </c>
      <c r="L9" s="9">
        <v>0</v>
      </c>
      <c r="M9" s="9">
        <v>0.3</v>
      </c>
      <c r="N9" s="9">
        <v>0.5</v>
      </c>
      <c r="P9" s="6" t="s">
        <v>25</v>
      </c>
    </row>
    <row r="10" spans="1:21" x14ac:dyDescent="0.3">
      <c r="A10" s="7" t="s">
        <v>42</v>
      </c>
      <c r="B10" s="6" t="s">
        <v>8</v>
      </c>
      <c r="C10" s="6" t="s">
        <v>7</v>
      </c>
      <c r="D10" s="6">
        <v>1</v>
      </c>
      <c r="E10" s="8">
        <v>29.99</v>
      </c>
      <c r="F10" s="6" t="s">
        <v>92</v>
      </c>
      <c r="G10" s="12">
        <f t="shared" si="0"/>
        <v>29.99</v>
      </c>
      <c r="H10">
        <f t="shared" si="1"/>
        <v>10</v>
      </c>
      <c r="I10">
        <f t="shared" si="2"/>
        <v>1</v>
      </c>
      <c r="J10" s="10" cm="1">
        <f t="array" ref="J10">IFERROR(
IF(B10="Campanha Renovação - Móvel",
D10*INDEX($L$3:$N$13,MATCH(B10,$K$3:$K$13,0),I10),
G10*INDEX($L$3:$N$13,MATCH(B10,$K$3:$K$13,0),I10)
),
0)</f>
        <v>0</v>
      </c>
      <c r="K10" s="6" t="s">
        <v>5</v>
      </c>
      <c r="L10" s="9">
        <v>0</v>
      </c>
      <c r="M10" s="9">
        <v>1</v>
      </c>
      <c r="N10" s="9">
        <v>1.5</v>
      </c>
      <c r="P10" s="6" t="s">
        <v>27</v>
      </c>
    </row>
    <row r="11" spans="1:21" x14ac:dyDescent="0.3">
      <c r="A11" s="7" t="s">
        <v>43</v>
      </c>
      <c r="B11" s="6" t="s">
        <v>10</v>
      </c>
      <c r="C11" s="6" t="s">
        <v>11</v>
      </c>
      <c r="D11" s="6">
        <v>1</v>
      </c>
      <c r="E11" s="8">
        <v>39.99</v>
      </c>
      <c r="F11" s="6" t="s">
        <v>92</v>
      </c>
      <c r="G11" s="12">
        <f t="shared" si="0"/>
        <v>39.99</v>
      </c>
      <c r="H11">
        <f t="shared" si="1"/>
        <v>39.99</v>
      </c>
      <c r="I11">
        <f t="shared" si="2"/>
        <v>1</v>
      </c>
      <c r="J11" s="10" cm="1">
        <f t="array" ref="J11">IFERROR(
IF(B11="Campanha Renovação - Móvel",
D11*INDEX($L$3:$N$13,MATCH(B11,$K$3:$K$13,0),I11),
G11*INDEX($L$3:$N$13,MATCH(B11,$K$3:$K$13,0),I11)
),
0)</f>
        <v>0</v>
      </c>
      <c r="K11" s="6" t="s">
        <v>18</v>
      </c>
      <c r="L11" s="9">
        <v>0</v>
      </c>
      <c r="M11" s="9">
        <v>0.8</v>
      </c>
      <c r="N11" s="9">
        <v>1</v>
      </c>
      <c r="P11" s="6" t="s">
        <v>36</v>
      </c>
    </row>
    <row r="12" spans="1:21" x14ac:dyDescent="0.3">
      <c r="A12" s="7" t="s">
        <v>43</v>
      </c>
      <c r="B12" s="6" t="s">
        <v>8</v>
      </c>
      <c r="C12" s="6" t="s">
        <v>7</v>
      </c>
      <c r="D12" s="6">
        <v>1</v>
      </c>
      <c r="E12" s="8">
        <v>29.99</v>
      </c>
      <c r="F12" s="6" t="s">
        <v>92</v>
      </c>
      <c r="G12" s="12">
        <f t="shared" si="0"/>
        <v>29.99</v>
      </c>
      <c r="H12">
        <f t="shared" si="1"/>
        <v>10</v>
      </c>
      <c r="I12">
        <f t="shared" si="2"/>
        <v>1</v>
      </c>
      <c r="J12" s="10" cm="1">
        <f t="array" ref="J12">IFERROR(
IF(B12="Campanha Renovação - Móvel",
D12*INDEX($L$3:$N$13,MATCH(B12,$K$3:$K$13,0),I12),
G12*INDEX($L$3:$N$13,MATCH(B12,$K$3:$K$13,0),I12)
),
0)</f>
        <v>0</v>
      </c>
      <c r="K12" s="6" t="s">
        <v>8</v>
      </c>
      <c r="L12" s="11">
        <v>0</v>
      </c>
      <c r="M12" s="11">
        <v>10</v>
      </c>
      <c r="N12" s="11">
        <v>20</v>
      </c>
      <c r="P12" s="6" t="s">
        <v>38</v>
      </c>
    </row>
    <row r="13" spans="1:21" x14ac:dyDescent="0.3">
      <c r="A13" s="7" t="s">
        <v>43</v>
      </c>
      <c r="B13" s="6" t="s">
        <v>8</v>
      </c>
      <c r="C13" s="6" t="s">
        <v>11</v>
      </c>
      <c r="D13" s="6">
        <v>1</v>
      </c>
      <c r="E13" s="8">
        <v>39.99</v>
      </c>
      <c r="F13" s="6" t="s">
        <v>92</v>
      </c>
      <c r="G13" s="12">
        <f t="shared" si="0"/>
        <v>39.99</v>
      </c>
      <c r="H13">
        <f t="shared" si="1"/>
        <v>10</v>
      </c>
      <c r="I13">
        <f t="shared" si="2"/>
        <v>1</v>
      </c>
      <c r="J13" s="10" cm="1">
        <f t="array" ref="J13">IFERROR(
IF(B13="Campanha Renovação - Móvel",
D13*INDEX($L$3:$N$13,MATCH(B13,$K$3:$K$13,0),I13),
G13*INDEX($L$3:$N$13,MATCH(B13,$K$3:$K$13,0),I13)
),
0)</f>
        <v>0</v>
      </c>
      <c r="K13" s="6" t="s">
        <v>16</v>
      </c>
      <c r="L13" s="9">
        <v>0</v>
      </c>
      <c r="M13" s="9">
        <v>0.6</v>
      </c>
      <c r="N13" s="9">
        <v>1</v>
      </c>
    </row>
    <row r="14" spans="1:21" x14ac:dyDescent="0.3">
      <c r="A14" s="7" t="s">
        <v>44</v>
      </c>
      <c r="B14" s="6" t="s">
        <v>8</v>
      </c>
      <c r="C14" s="6" t="s">
        <v>7</v>
      </c>
      <c r="D14" s="6">
        <v>1</v>
      </c>
      <c r="E14" s="8">
        <v>29.99</v>
      </c>
      <c r="F14" s="6" t="s">
        <v>92</v>
      </c>
      <c r="G14" s="12">
        <f t="shared" si="0"/>
        <v>29.99</v>
      </c>
      <c r="H14">
        <f t="shared" si="1"/>
        <v>10</v>
      </c>
      <c r="I14">
        <f t="shared" si="2"/>
        <v>1</v>
      </c>
      <c r="J14" s="10" cm="1">
        <f t="array" ref="J14">IFERROR(
IF(B14="Campanha Renovação - Móvel",
D14*INDEX($L$3:$N$13,MATCH(B14,$K$3:$K$13,0),I14),
G14*INDEX($L$3:$N$13,MATCH(B14,$K$3:$K$13,0),I14)
),
0)</f>
        <v>0</v>
      </c>
    </row>
    <row r="15" spans="1:21" x14ac:dyDescent="0.3">
      <c r="A15" s="7" t="s">
        <v>45</v>
      </c>
      <c r="B15" s="6" t="s">
        <v>10</v>
      </c>
      <c r="C15" s="6" t="s">
        <v>9</v>
      </c>
      <c r="D15" s="6">
        <v>1</v>
      </c>
      <c r="E15" s="8">
        <v>99.99</v>
      </c>
      <c r="F15" s="6" t="s">
        <v>92</v>
      </c>
      <c r="G15" s="12">
        <f t="shared" si="0"/>
        <v>99.99</v>
      </c>
      <c r="H15">
        <f t="shared" si="1"/>
        <v>99.99</v>
      </c>
      <c r="I15">
        <f t="shared" si="2"/>
        <v>1</v>
      </c>
      <c r="J15" s="10" cm="1">
        <f t="array" ref="J15">IFERROR(
IF(B15="Campanha Renovação - Móvel",
D15*INDEX($L$3:$N$13,MATCH(B15,$K$3:$K$13,0),I15),
G15*INDEX($L$3:$N$13,MATCH(B15,$K$3:$K$13,0),I15)
),
0)</f>
        <v>0</v>
      </c>
    </row>
    <row r="16" spans="1:21" x14ac:dyDescent="0.3">
      <c r="A16" s="7" t="s">
        <v>45</v>
      </c>
      <c r="B16" s="6" t="s">
        <v>10</v>
      </c>
      <c r="C16" s="6" t="s">
        <v>11</v>
      </c>
      <c r="D16" s="6">
        <v>1</v>
      </c>
      <c r="E16" s="8">
        <v>39.99</v>
      </c>
      <c r="F16" s="6" t="s">
        <v>92</v>
      </c>
      <c r="G16" s="12">
        <f t="shared" si="0"/>
        <v>39.99</v>
      </c>
      <c r="H16">
        <f t="shared" si="1"/>
        <v>39.99</v>
      </c>
      <c r="I16">
        <f t="shared" si="2"/>
        <v>1</v>
      </c>
      <c r="J16" s="10" cm="1">
        <f t="array" ref="J16">IFERROR(
IF(B16="Campanha Renovação - Móvel",
D16*INDEX($L$3:$N$13,MATCH(B16,$K$3:$K$13,0),I16),
G16*INDEX($L$3:$N$13,MATCH(B16,$K$3:$K$13,0),I16)
),
0)</f>
        <v>0</v>
      </c>
    </row>
    <row r="17" spans="1:10" x14ac:dyDescent="0.3">
      <c r="A17" s="7" t="s">
        <v>45</v>
      </c>
      <c r="B17" s="6" t="s">
        <v>10</v>
      </c>
      <c r="C17" s="6" t="s">
        <v>9</v>
      </c>
      <c r="D17" s="6">
        <v>1</v>
      </c>
      <c r="E17" s="8">
        <v>99.99</v>
      </c>
      <c r="F17" s="6" t="s">
        <v>92</v>
      </c>
      <c r="G17" s="12">
        <f t="shared" si="0"/>
        <v>99.99</v>
      </c>
      <c r="H17">
        <f t="shared" si="1"/>
        <v>99.99</v>
      </c>
      <c r="I17">
        <f t="shared" si="2"/>
        <v>1</v>
      </c>
      <c r="J17" s="10" cm="1">
        <f t="array" ref="J17">IFERROR(
IF(B17="Campanha Renovação - Móvel",
D17*INDEX($L$3:$N$13,MATCH(B17,$K$3:$K$13,0),I17),
G17*INDEX($L$3:$N$13,MATCH(B17,$K$3:$K$13,0),I17)
),
0)</f>
        <v>0</v>
      </c>
    </row>
    <row r="18" spans="1:10" x14ac:dyDescent="0.3">
      <c r="A18" s="7" t="s">
        <v>45</v>
      </c>
      <c r="B18" s="6" t="s">
        <v>8</v>
      </c>
      <c r="C18" s="6" t="s">
        <v>7</v>
      </c>
      <c r="D18" s="6">
        <v>1</v>
      </c>
      <c r="E18" s="8">
        <v>29.99</v>
      </c>
      <c r="F18" s="6" t="s">
        <v>92</v>
      </c>
      <c r="G18" s="12">
        <f t="shared" si="0"/>
        <v>29.99</v>
      </c>
      <c r="H18">
        <f t="shared" si="1"/>
        <v>10</v>
      </c>
      <c r="I18">
        <f t="shared" si="2"/>
        <v>1</v>
      </c>
      <c r="J18" s="10" cm="1">
        <f t="array" ref="J18">IFERROR(
IF(B18="Campanha Renovação - Móvel",
D18*INDEX($L$3:$N$13,MATCH(B18,$K$3:$K$13,0),I18),
G18*INDEX($L$3:$N$13,MATCH(B18,$K$3:$K$13,0),I18)
),
0)</f>
        <v>0</v>
      </c>
    </row>
    <row r="19" spans="1:10" x14ac:dyDescent="0.3">
      <c r="A19" s="7" t="s">
        <v>45</v>
      </c>
      <c r="B19" s="6" t="s">
        <v>8</v>
      </c>
      <c r="C19" s="6" t="s">
        <v>14</v>
      </c>
      <c r="D19" s="6">
        <v>1</v>
      </c>
      <c r="E19" s="8">
        <v>59.99</v>
      </c>
      <c r="F19" s="6" t="s">
        <v>92</v>
      </c>
      <c r="G19" s="12">
        <f t="shared" si="0"/>
        <v>59.99</v>
      </c>
      <c r="H19">
        <f t="shared" si="1"/>
        <v>10</v>
      </c>
      <c r="I19">
        <f t="shared" si="2"/>
        <v>1</v>
      </c>
      <c r="J19" s="10" cm="1">
        <f t="array" ref="J19">IFERROR(
IF(B19="Campanha Renovação - Móvel",
D19*INDEX($L$3:$N$13,MATCH(B19,$K$3:$K$13,0),I19),
G19*INDEX($L$3:$N$13,MATCH(B19,$K$3:$K$13,0),I19)
),
0)</f>
        <v>0</v>
      </c>
    </row>
    <row r="20" spans="1:10" x14ac:dyDescent="0.3">
      <c r="A20" s="7" t="s">
        <v>45</v>
      </c>
      <c r="B20" s="6" t="s">
        <v>8</v>
      </c>
      <c r="C20" s="6" t="s">
        <v>7</v>
      </c>
      <c r="D20" s="6">
        <v>1</v>
      </c>
      <c r="E20" s="8">
        <v>29.99</v>
      </c>
      <c r="F20" s="6" t="s">
        <v>92</v>
      </c>
      <c r="G20" s="12">
        <f t="shared" si="0"/>
        <v>29.99</v>
      </c>
      <c r="H20">
        <f t="shared" si="1"/>
        <v>10</v>
      </c>
      <c r="I20">
        <f t="shared" si="2"/>
        <v>1</v>
      </c>
      <c r="J20" s="10" cm="1">
        <f t="array" ref="J20">IFERROR(
IF(B20="Campanha Renovação - Móvel",
D20*INDEX($L$3:$N$13,MATCH(B20,$K$3:$K$13,0),I20),
G20*INDEX($L$3:$N$13,MATCH(B20,$K$3:$K$13,0),I20)
),
0)</f>
        <v>0</v>
      </c>
    </row>
    <row r="21" spans="1:10" x14ac:dyDescent="0.3">
      <c r="A21" s="7" t="s">
        <v>45</v>
      </c>
      <c r="B21" s="6" t="s">
        <v>8</v>
      </c>
      <c r="C21" s="6" t="s">
        <v>15</v>
      </c>
      <c r="D21" s="6">
        <v>1</v>
      </c>
      <c r="E21" s="8">
        <v>54.99</v>
      </c>
      <c r="F21" s="6" t="s">
        <v>92</v>
      </c>
      <c r="G21" s="12">
        <f t="shared" si="0"/>
        <v>54.99</v>
      </c>
      <c r="H21">
        <f t="shared" si="1"/>
        <v>10</v>
      </c>
      <c r="I21">
        <f t="shared" si="2"/>
        <v>1</v>
      </c>
      <c r="J21" s="10" cm="1">
        <f t="array" ref="J21">IFERROR(
IF(B21="Campanha Renovação - Móvel",
D21*INDEX($L$3:$N$13,MATCH(B21,$K$3:$K$13,0),I21),
G21*INDEX($L$3:$N$13,MATCH(B21,$K$3:$K$13,0),I21)
),
0)</f>
        <v>0</v>
      </c>
    </row>
    <row r="22" spans="1:10" x14ac:dyDescent="0.3">
      <c r="A22" s="7" t="s">
        <v>45</v>
      </c>
      <c r="B22" s="6" t="s">
        <v>8</v>
      </c>
      <c r="C22" s="6" t="s">
        <v>12</v>
      </c>
      <c r="D22" s="6">
        <v>1</v>
      </c>
      <c r="E22" s="8">
        <v>49.99</v>
      </c>
      <c r="F22" s="6" t="s">
        <v>92</v>
      </c>
      <c r="G22" s="12">
        <f t="shared" si="0"/>
        <v>49.99</v>
      </c>
      <c r="H22">
        <f t="shared" si="1"/>
        <v>10</v>
      </c>
      <c r="I22">
        <f t="shared" si="2"/>
        <v>1</v>
      </c>
      <c r="J22" s="10" cm="1">
        <f t="array" ref="J22">IFERROR(
IF(B22="Campanha Renovação - Móvel",
D22*INDEX($L$3:$N$13,MATCH(B22,$K$3:$K$13,0),I22),
G22*INDEX($L$3:$N$13,MATCH(B22,$K$3:$K$13,0),I22)
),
0)</f>
        <v>0</v>
      </c>
    </row>
    <row r="23" spans="1:10" x14ac:dyDescent="0.3">
      <c r="A23" s="7" t="s">
        <v>45</v>
      </c>
      <c r="B23" s="6" t="s">
        <v>8</v>
      </c>
      <c r="C23" s="6" t="s">
        <v>7</v>
      </c>
      <c r="D23" s="6">
        <v>1</v>
      </c>
      <c r="E23" s="8">
        <v>29.99</v>
      </c>
      <c r="F23" s="6" t="s">
        <v>92</v>
      </c>
      <c r="G23" s="12">
        <f t="shared" si="0"/>
        <v>29.99</v>
      </c>
      <c r="H23">
        <f t="shared" si="1"/>
        <v>10</v>
      </c>
      <c r="I23">
        <f t="shared" si="2"/>
        <v>1</v>
      </c>
      <c r="J23" s="10" cm="1">
        <f t="array" ref="J23">IFERROR(
IF(B23="Campanha Renovação - Móvel",
D23*INDEX($L$3:$N$13,MATCH(B23,$K$3:$K$13,0),I23),
G23*INDEX($L$3:$N$13,MATCH(B23,$K$3:$K$13,0),I23)
),
0)</f>
        <v>0</v>
      </c>
    </row>
    <row r="24" spans="1:10" x14ac:dyDescent="0.3">
      <c r="A24" s="7" t="s">
        <v>45</v>
      </c>
      <c r="B24" s="6" t="s">
        <v>8</v>
      </c>
      <c r="C24" s="6" t="s">
        <v>7</v>
      </c>
      <c r="D24" s="6">
        <v>1</v>
      </c>
      <c r="E24" s="8">
        <v>29.99</v>
      </c>
      <c r="F24" s="6" t="s">
        <v>92</v>
      </c>
      <c r="G24" s="12">
        <f t="shared" si="0"/>
        <v>29.99</v>
      </c>
      <c r="H24">
        <f t="shared" si="1"/>
        <v>10</v>
      </c>
      <c r="I24">
        <f t="shared" si="2"/>
        <v>1</v>
      </c>
      <c r="J24" s="10" cm="1">
        <f t="array" ref="J24">IFERROR(
IF(B24="Campanha Renovação - Móvel",
D24*INDEX($L$3:$N$13,MATCH(B24,$K$3:$K$13,0),I24),
G24*INDEX($L$3:$N$13,MATCH(B24,$K$3:$K$13,0),I24)
),
0)</f>
        <v>0</v>
      </c>
    </row>
    <row r="25" spans="1:10" x14ac:dyDescent="0.3">
      <c r="A25" s="7" t="s">
        <v>45</v>
      </c>
      <c r="B25" s="6" t="s">
        <v>8</v>
      </c>
      <c r="C25" s="6" t="s">
        <v>7</v>
      </c>
      <c r="D25" s="6">
        <v>1</v>
      </c>
      <c r="E25" s="8">
        <v>29.99</v>
      </c>
      <c r="F25" s="6" t="s">
        <v>92</v>
      </c>
      <c r="G25" s="12">
        <f t="shared" si="0"/>
        <v>29.99</v>
      </c>
      <c r="H25">
        <f t="shared" si="1"/>
        <v>10</v>
      </c>
      <c r="I25">
        <f t="shared" si="2"/>
        <v>1</v>
      </c>
      <c r="J25" s="10" cm="1">
        <f t="array" ref="J25">IFERROR(
IF(B25="Campanha Renovação - Móvel",
D25*INDEX($L$3:$N$13,MATCH(B25,$K$3:$K$13,0),I25),
G25*INDEX($L$3:$N$13,MATCH(B25,$K$3:$K$13,0),I25)
),
0)</f>
        <v>0</v>
      </c>
    </row>
    <row r="26" spans="1:10" x14ac:dyDescent="0.3">
      <c r="A26" s="7" t="s">
        <v>44</v>
      </c>
      <c r="B26" s="6" t="s">
        <v>16</v>
      </c>
      <c r="C26" s="6"/>
      <c r="D26" s="6">
        <v>1</v>
      </c>
      <c r="E26" s="8">
        <v>10</v>
      </c>
      <c r="F26" s="6" t="s">
        <v>92</v>
      </c>
      <c r="G26" s="12">
        <f t="shared" si="0"/>
        <v>10</v>
      </c>
      <c r="H26">
        <f t="shared" si="1"/>
        <v>10</v>
      </c>
      <c r="I26">
        <f t="shared" si="2"/>
        <v>1</v>
      </c>
      <c r="J26" s="10" cm="1">
        <f t="array" ref="J26">IFERROR(
IF(B26="Campanha Renovação - Móvel",
D26*INDEX($L$3:$N$13,MATCH(B26,$K$3:$K$13,0),I26),
G26*INDEX($L$3:$N$13,MATCH(B26,$K$3:$K$13,0),I26)
),
0)</f>
        <v>0</v>
      </c>
    </row>
    <row r="27" spans="1:10" x14ac:dyDescent="0.3">
      <c r="A27" s="7" t="s">
        <v>46</v>
      </c>
      <c r="B27" s="6" t="s">
        <v>18</v>
      </c>
      <c r="C27" s="6" t="s">
        <v>17</v>
      </c>
      <c r="D27" s="6">
        <v>1</v>
      </c>
      <c r="E27" s="8">
        <v>100</v>
      </c>
      <c r="F27" s="6" t="s">
        <v>92</v>
      </c>
      <c r="G27" s="12">
        <f t="shared" si="0"/>
        <v>100</v>
      </c>
      <c r="H27">
        <f t="shared" si="1"/>
        <v>50</v>
      </c>
      <c r="I27">
        <f t="shared" si="2"/>
        <v>1</v>
      </c>
      <c r="J27" s="10" cm="1">
        <f t="array" ref="J27">IFERROR(
IF(B27="Campanha Renovação - Móvel",
D27*INDEX($L$3:$N$13,MATCH(B27,$K$3:$K$13,0),I27),
G27*INDEX($L$3:$N$13,MATCH(B27,$K$3:$K$13,0),I27)
),
0)</f>
        <v>0</v>
      </c>
    </row>
    <row r="28" spans="1:10" x14ac:dyDescent="0.3">
      <c r="A28" s="7" t="s">
        <v>47</v>
      </c>
      <c r="B28" s="6" t="s">
        <v>18</v>
      </c>
      <c r="C28" s="6" t="s">
        <v>17</v>
      </c>
      <c r="D28" s="6">
        <v>1</v>
      </c>
      <c r="E28" s="8">
        <v>100</v>
      </c>
      <c r="F28" s="6" t="s">
        <v>92</v>
      </c>
      <c r="G28" s="12">
        <f t="shared" si="0"/>
        <v>100</v>
      </c>
      <c r="H28">
        <f t="shared" si="1"/>
        <v>50</v>
      </c>
      <c r="I28">
        <f t="shared" si="2"/>
        <v>1</v>
      </c>
      <c r="J28" s="10" cm="1">
        <f t="array" ref="J28">IFERROR(
IF(B28="Campanha Renovação - Móvel",
D28*INDEX($L$3:$N$13,MATCH(B28,$K$3:$K$13,0),I28),
G28*INDEX($L$3:$N$13,MATCH(B28,$K$3:$K$13,0),I28)
),
0)</f>
        <v>0</v>
      </c>
    </row>
    <row r="29" spans="1:10" x14ac:dyDescent="0.3">
      <c r="A29" s="7" t="s">
        <v>48</v>
      </c>
      <c r="B29" s="6" t="s">
        <v>18</v>
      </c>
      <c r="C29" s="6" t="s">
        <v>19</v>
      </c>
      <c r="D29" s="6">
        <v>1</v>
      </c>
      <c r="E29" s="8">
        <v>270</v>
      </c>
      <c r="F29" s="6" t="s">
        <v>92</v>
      </c>
      <c r="G29" s="12">
        <f t="shared" si="0"/>
        <v>270</v>
      </c>
      <c r="H29">
        <f t="shared" si="1"/>
        <v>135</v>
      </c>
      <c r="I29">
        <f t="shared" si="2"/>
        <v>1</v>
      </c>
      <c r="J29" s="10" cm="1">
        <f t="array" ref="J29">IFERROR(
IF(B29="Campanha Renovação - Móvel",
D29*INDEX($L$3:$N$13,MATCH(B29,$K$3:$K$13,0),I29),
G29*INDEX($L$3:$N$13,MATCH(B29,$K$3:$K$13,0),I29)
),
0)</f>
        <v>0</v>
      </c>
    </row>
    <row r="30" spans="1:10" x14ac:dyDescent="0.3">
      <c r="A30" s="7" t="s">
        <v>49</v>
      </c>
      <c r="B30" s="6" t="s">
        <v>18</v>
      </c>
      <c r="C30" s="6" t="s">
        <v>17</v>
      </c>
      <c r="D30" s="6">
        <v>1</v>
      </c>
      <c r="E30" s="8">
        <v>100</v>
      </c>
      <c r="F30" s="6" t="s">
        <v>92</v>
      </c>
      <c r="G30" s="12">
        <f t="shared" si="0"/>
        <v>100</v>
      </c>
      <c r="H30">
        <f t="shared" si="1"/>
        <v>50</v>
      </c>
      <c r="I30">
        <f t="shared" si="2"/>
        <v>1</v>
      </c>
      <c r="J30" s="10" cm="1">
        <f t="array" ref="J30">IFERROR(
IF(B30="Campanha Renovação - Móvel",
D30*INDEX($L$3:$N$13,MATCH(B30,$K$3:$K$13,0),I30),
G30*INDEX($L$3:$N$13,MATCH(B30,$K$3:$K$13,0),I30)
),
0)</f>
        <v>0</v>
      </c>
    </row>
    <row r="31" spans="1:10" x14ac:dyDescent="0.3">
      <c r="A31" s="7" t="s">
        <v>50</v>
      </c>
      <c r="B31" s="6" t="s">
        <v>18</v>
      </c>
      <c r="C31" s="6" t="s">
        <v>17</v>
      </c>
      <c r="D31" s="6">
        <v>1</v>
      </c>
      <c r="E31" s="8">
        <v>100</v>
      </c>
      <c r="F31" s="6" t="s">
        <v>92</v>
      </c>
      <c r="G31" s="12">
        <f t="shared" si="0"/>
        <v>100</v>
      </c>
      <c r="H31">
        <f t="shared" si="1"/>
        <v>50</v>
      </c>
      <c r="I31">
        <f t="shared" si="2"/>
        <v>1</v>
      </c>
      <c r="J31" s="10" cm="1">
        <f t="array" ref="J31">IFERROR(
IF(B31="Campanha Renovação - Móvel",
D31*INDEX($L$3:$N$13,MATCH(B31,$K$3:$K$13,0),I31),
G31*INDEX($L$3:$N$13,MATCH(B31,$K$3:$K$13,0),I31)
),
0)</f>
        <v>0</v>
      </c>
    </row>
    <row r="32" spans="1:10" x14ac:dyDescent="0.3">
      <c r="A32" s="7" t="s">
        <v>51</v>
      </c>
      <c r="B32" s="6" t="s">
        <v>18</v>
      </c>
      <c r="C32" s="6" t="s">
        <v>17</v>
      </c>
      <c r="D32" s="6">
        <v>1</v>
      </c>
      <c r="E32" s="8">
        <v>100</v>
      </c>
      <c r="F32" s="6" t="s">
        <v>92</v>
      </c>
      <c r="G32" s="12">
        <f t="shared" si="0"/>
        <v>100</v>
      </c>
      <c r="H32">
        <f t="shared" si="1"/>
        <v>50</v>
      </c>
      <c r="I32">
        <f t="shared" si="2"/>
        <v>1</v>
      </c>
      <c r="J32" s="10" cm="1">
        <f t="array" ref="J32">IFERROR(
IF(B32="Campanha Renovação - Móvel",
D32*INDEX($L$3:$N$13,MATCH(B32,$K$3:$K$13,0),I32),
G32*INDEX($L$3:$N$13,MATCH(B32,$K$3:$K$13,0),I32)
),
0)</f>
        <v>0</v>
      </c>
    </row>
    <row r="33" spans="1:10" x14ac:dyDescent="0.3">
      <c r="A33" s="7" t="s">
        <v>52</v>
      </c>
      <c r="B33" s="6" t="s">
        <v>18</v>
      </c>
      <c r="C33" s="6" t="s">
        <v>17</v>
      </c>
      <c r="D33" s="6">
        <v>1</v>
      </c>
      <c r="E33" s="8">
        <v>100</v>
      </c>
      <c r="F33" s="6" t="s">
        <v>92</v>
      </c>
      <c r="G33" s="12">
        <f t="shared" si="0"/>
        <v>100</v>
      </c>
      <c r="H33">
        <f t="shared" si="1"/>
        <v>50</v>
      </c>
      <c r="I33">
        <f t="shared" si="2"/>
        <v>1</v>
      </c>
      <c r="J33" s="10" cm="1">
        <f t="array" ref="J33">IFERROR(
IF(B33="Campanha Renovação - Móvel",
D33*INDEX($L$3:$N$13,MATCH(B33,$K$3:$K$13,0),I33),
G33*INDEX($L$3:$N$13,MATCH(B33,$K$3:$K$13,0),I33)
),
0)</f>
        <v>0</v>
      </c>
    </row>
    <row r="34" spans="1:10" x14ac:dyDescent="0.3">
      <c r="A34" s="7" t="s">
        <v>53</v>
      </c>
      <c r="B34" s="6" t="s">
        <v>18</v>
      </c>
      <c r="C34" s="6" t="s">
        <v>17</v>
      </c>
      <c r="D34" s="6">
        <v>1</v>
      </c>
      <c r="E34" s="8">
        <v>100</v>
      </c>
      <c r="F34" s="6" t="s">
        <v>92</v>
      </c>
      <c r="G34" s="12">
        <f t="shared" si="0"/>
        <v>100</v>
      </c>
      <c r="H34">
        <f t="shared" si="1"/>
        <v>50</v>
      </c>
      <c r="I34">
        <f t="shared" si="2"/>
        <v>1</v>
      </c>
      <c r="J34" s="10" cm="1">
        <f t="array" ref="J34">IFERROR(
IF(B34="Campanha Renovação - Móvel",
D34*INDEX($L$3:$N$13,MATCH(B34,$K$3:$K$13,0),I34),
G34*INDEX($L$3:$N$13,MATCH(B34,$K$3:$K$13,0),I34)
),
0)</f>
        <v>0</v>
      </c>
    </row>
    <row r="35" spans="1:10" x14ac:dyDescent="0.3">
      <c r="A35" s="7" t="s">
        <v>54</v>
      </c>
      <c r="B35" s="6" t="s">
        <v>18</v>
      </c>
      <c r="C35" s="6" t="s">
        <v>17</v>
      </c>
      <c r="D35" s="6">
        <v>1</v>
      </c>
      <c r="E35" s="8">
        <v>100</v>
      </c>
      <c r="F35" s="6" t="s">
        <v>92</v>
      </c>
      <c r="G35" s="12">
        <f t="shared" si="0"/>
        <v>100</v>
      </c>
      <c r="H35">
        <f t="shared" si="1"/>
        <v>50</v>
      </c>
      <c r="I35">
        <f t="shared" si="2"/>
        <v>1</v>
      </c>
      <c r="J35" s="10" cm="1">
        <f t="array" ref="J35">IFERROR(
IF(B35="Campanha Renovação - Móvel",
D35*INDEX($L$3:$N$13,MATCH(B35,$K$3:$K$13,0),I35),
G35*INDEX($L$3:$N$13,MATCH(B35,$K$3:$K$13,0),I35)
),
0)</f>
        <v>0</v>
      </c>
    </row>
    <row r="36" spans="1:10" x14ac:dyDescent="0.3">
      <c r="A36" s="7" t="s">
        <v>55</v>
      </c>
      <c r="B36" s="6" t="s">
        <v>18</v>
      </c>
      <c r="C36" s="6" t="s">
        <v>17</v>
      </c>
      <c r="D36" s="6">
        <v>1</v>
      </c>
      <c r="E36" s="8">
        <v>100</v>
      </c>
      <c r="F36" s="6" t="s">
        <v>92</v>
      </c>
      <c r="G36" s="12">
        <f t="shared" si="0"/>
        <v>100</v>
      </c>
      <c r="H36">
        <f t="shared" si="1"/>
        <v>50</v>
      </c>
      <c r="I36">
        <f t="shared" si="2"/>
        <v>1</v>
      </c>
      <c r="J36" s="10" cm="1">
        <f t="array" ref="J36">IFERROR(
IF(B36="Campanha Renovação - Móvel",
D36*INDEX($L$3:$N$13,MATCH(B36,$K$3:$K$13,0),I36),
G36*INDEX($L$3:$N$13,MATCH(B36,$K$3:$K$13,0),I36)
),
0)</f>
        <v>0</v>
      </c>
    </row>
    <row r="37" spans="1:10" x14ac:dyDescent="0.3">
      <c r="A37" s="7" t="s">
        <v>43</v>
      </c>
      <c r="B37" s="6" t="s">
        <v>20</v>
      </c>
      <c r="C37" s="6" t="s">
        <v>3</v>
      </c>
      <c r="D37" s="6">
        <v>1</v>
      </c>
      <c r="E37" s="8">
        <v>73.989999999999995</v>
      </c>
      <c r="F37" s="6" t="s">
        <v>92</v>
      </c>
      <c r="G37" s="12">
        <f t="shared" si="0"/>
        <v>73.989999999999995</v>
      </c>
      <c r="H37">
        <f t="shared" si="1"/>
        <v>73.989999999999995</v>
      </c>
      <c r="I37">
        <f t="shared" si="2"/>
        <v>1</v>
      </c>
      <c r="J37" s="10" cm="1">
        <f t="array" ref="J37">IFERROR(
IF(B37="Campanha Renovação - Móvel",
D37*INDEX($L$3:$N$13,MATCH(B37,$K$3:$K$13,0),I37),
G37*INDEX($L$3:$N$13,MATCH(B37,$K$3:$K$13,0),I37)
),
0)</f>
        <v>0</v>
      </c>
    </row>
    <row r="38" spans="1:10" x14ac:dyDescent="0.3">
      <c r="A38" s="7" t="s">
        <v>43</v>
      </c>
      <c r="B38" s="6" t="s">
        <v>20</v>
      </c>
      <c r="C38" s="6" t="s">
        <v>6</v>
      </c>
      <c r="D38" s="6">
        <v>1</v>
      </c>
      <c r="E38" s="8">
        <v>26</v>
      </c>
      <c r="F38" s="6" t="s">
        <v>92</v>
      </c>
      <c r="G38" s="12">
        <f t="shared" si="0"/>
        <v>26</v>
      </c>
      <c r="H38">
        <f t="shared" si="1"/>
        <v>26</v>
      </c>
      <c r="I38">
        <f t="shared" si="2"/>
        <v>1</v>
      </c>
      <c r="J38" s="10" cm="1">
        <f t="array" ref="J38">IFERROR(
IF(B38="Campanha Renovação - Móvel",
D38*INDEX($L$3:$N$13,MATCH(B38,$K$3:$K$13,0),I38),
G38*INDEX($L$3:$N$13,MATCH(B38,$K$3:$K$13,0),I38)
),
0)</f>
        <v>0</v>
      </c>
    </row>
    <row r="39" spans="1:10" x14ac:dyDescent="0.3">
      <c r="A39" s="7" t="s">
        <v>56</v>
      </c>
      <c r="B39" s="6" t="s">
        <v>22</v>
      </c>
      <c r="C39" s="6" t="s">
        <v>21</v>
      </c>
      <c r="D39" s="6">
        <v>1</v>
      </c>
      <c r="E39" s="8">
        <v>9</v>
      </c>
      <c r="F39" s="6" t="s">
        <v>93</v>
      </c>
      <c r="G39" s="12">
        <f t="shared" si="0"/>
        <v>9</v>
      </c>
      <c r="H39">
        <f t="shared" si="1"/>
        <v>0</v>
      </c>
      <c r="I39">
        <f t="shared" si="2"/>
        <v>2</v>
      </c>
      <c r="J39" s="10" cm="1">
        <f t="array" ref="J39">IFERROR(
IF(B39="Campanha Renovação - Móvel",
D39*INDEX($L$3:$N$13,MATCH(B39,$K$3:$K$13,0),I39),
G39*INDEX($L$3:$N$13,MATCH(B39,$K$3:$K$13,0),I39)
),
0)</f>
        <v>2.6999999999999997</v>
      </c>
    </row>
    <row r="40" spans="1:10" x14ac:dyDescent="0.3">
      <c r="A40" s="7" t="s">
        <v>56</v>
      </c>
      <c r="B40" s="6" t="s">
        <v>22</v>
      </c>
      <c r="C40" s="6" t="s">
        <v>23</v>
      </c>
      <c r="D40" s="6">
        <v>1</v>
      </c>
      <c r="E40" s="8">
        <v>21</v>
      </c>
      <c r="F40" s="6" t="s">
        <v>93</v>
      </c>
      <c r="G40" s="12">
        <f t="shared" si="0"/>
        <v>21</v>
      </c>
      <c r="H40">
        <f t="shared" si="1"/>
        <v>0</v>
      </c>
      <c r="I40">
        <f t="shared" si="2"/>
        <v>2</v>
      </c>
      <c r="J40" s="10" cm="1">
        <f t="array" ref="J40">IFERROR(
IF(B40="Campanha Renovação - Móvel",
D40*INDEX($L$3:$N$13,MATCH(B40,$K$3:$K$13,0),I40),
G40*INDEX($L$3:$N$13,MATCH(B40,$K$3:$K$13,0),I40)
),
0)</f>
        <v>6.3</v>
      </c>
    </row>
    <row r="41" spans="1:10" x14ac:dyDescent="0.3">
      <c r="A41" s="7" t="s">
        <v>56</v>
      </c>
      <c r="B41" s="6" t="s">
        <v>22</v>
      </c>
      <c r="C41" s="6" t="s">
        <v>3</v>
      </c>
      <c r="D41" s="6">
        <v>1</v>
      </c>
      <c r="E41" s="8">
        <v>73.989999999999995</v>
      </c>
      <c r="F41" s="6" t="s">
        <v>93</v>
      </c>
      <c r="G41" s="12">
        <f t="shared" si="0"/>
        <v>73.989999999999995</v>
      </c>
      <c r="H41">
        <f t="shared" si="1"/>
        <v>0</v>
      </c>
      <c r="I41">
        <f t="shared" si="2"/>
        <v>2</v>
      </c>
      <c r="J41" s="10" cm="1">
        <f t="array" ref="J41">IFERROR(
IF(B41="Campanha Renovação - Móvel",
D41*INDEX($L$3:$N$13,MATCH(B41,$K$3:$K$13,0),I41),
G41*INDEX($L$3:$N$13,MATCH(B41,$K$3:$K$13,0),I41)
),
0)</f>
        <v>22.196999999999999</v>
      </c>
    </row>
    <row r="42" spans="1:10" x14ac:dyDescent="0.3">
      <c r="A42" s="7" t="s">
        <v>56</v>
      </c>
      <c r="B42" s="6" t="s">
        <v>22</v>
      </c>
      <c r="C42" s="6" t="s">
        <v>6</v>
      </c>
      <c r="D42" s="6">
        <v>1</v>
      </c>
      <c r="E42" s="8">
        <v>26</v>
      </c>
      <c r="F42" s="6" t="s">
        <v>93</v>
      </c>
      <c r="G42" s="12">
        <f t="shared" si="0"/>
        <v>26</v>
      </c>
      <c r="H42">
        <f t="shared" si="1"/>
        <v>0</v>
      </c>
      <c r="I42">
        <f t="shared" si="2"/>
        <v>2</v>
      </c>
      <c r="J42" s="10" cm="1">
        <f t="array" ref="J42">IFERROR(
IF(B42="Campanha Renovação - Móvel",
D42*INDEX($L$3:$N$13,MATCH(B42,$K$3:$K$13,0),I42),
G42*INDEX($L$3:$N$13,MATCH(B42,$K$3:$K$13,0),I42)
),
0)</f>
        <v>7.8</v>
      </c>
    </row>
    <row r="43" spans="1:10" x14ac:dyDescent="0.3">
      <c r="A43" s="7" t="s">
        <v>57</v>
      </c>
      <c r="B43" s="6" t="s">
        <v>5</v>
      </c>
      <c r="C43" s="6" t="s">
        <v>3</v>
      </c>
      <c r="D43" s="6">
        <v>1</v>
      </c>
      <c r="E43" s="8">
        <v>73.989999999999995</v>
      </c>
      <c r="F43" s="6" t="s">
        <v>93</v>
      </c>
      <c r="G43" s="12">
        <f t="shared" si="0"/>
        <v>73.989999999999995</v>
      </c>
      <c r="H43">
        <f t="shared" si="1"/>
        <v>73.989999999999995</v>
      </c>
      <c r="I43">
        <f t="shared" si="2"/>
        <v>2</v>
      </c>
      <c r="J43" s="10" cm="1">
        <f t="array" ref="J43">IFERROR(
IF(B43="Campanha Renovação - Móvel",
D43*INDEX($L$3:$N$13,MATCH(B43,$K$3:$K$13,0),I43),
G43*INDEX($L$3:$N$13,MATCH(B43,$K$3:$K$13,0),I43)
),
0)</f>
        <v>73.989999999999995</v>
      </c>
    </row>
    <row r="44" spans="1:10" x14ac:dyDescent="0.3">
      <c r="A44" s="7" t="s">
        <v>57</v>
      </c>
      <c r="B44" s="6" t="s">
        <v>5</v>
      </c>
      <c r="C44" s="6" t="s">
        <v>6</v>
      </c>
      <c r="D44" s="6">
        <v>1</v>
      </c>
      <c r="E44" s="8">
        <v>26</v>
      </c>
      <c r="F44" s="6" t="s">
        <v>93</v>
      </c>
      <c r="G44" s="12">
        <f t="shared" si="0"/>
        <v>26</v>
      </c>
      <c r="H44">
        <f t="shared" si="1"/>
        <v>26</v>
      </c>
      <c r="I44">
        <f t="shared" si="2"/>
        <v>2</v>
      </c>
      <c r="J44" s="10" cm="1">
        <f t="array" ref="J44">IFERROR(
IF(B44="Campanha Renovação - Móvel",
D44*INDEX($L$3:$N$13,MATCH(B44,$K$3:$K$13,0),I44),
G44*INDEX($L$3:$N$13,MATCH(B44,$K$3:$K$13,0),I44)
),
0)</f>
        <v>26</v>
      </c>
    </row>
    <row r="45" spans="1:10" x14ac:dyDescent="0.3">
      <c r="A45" s="7" t="s">
        <v>57</v>
      </c>
      <c r="B45" s="6" t="s">
        <v>5</v>
      </c>
      <c r="C45" s="6" t="s">
        <v>24</v>
      </c>
      <c r="D45" s="6">
        <v>1</v>
      </c>
      <c r="E45" s="8">
        <v>124.99</v>
      </c>
      <c r="F45" s="6" t="s">
        <v>93</v>
      </c>
      <c r="G45" s="12">
        <f t="shared" si="0"/>
        <v>124.99</v>
      </c>
      <c r="H45">
        <f t="shared" si="1"/>
        <v>124.99</v>
      </c>
      <c r="I45">
        <f t="shared" si="2"/>
        <v>2</v>
      </c>
      <c r="J45" s="10" cm="1">
        <f t="array" ref="J45">IFERROR(
IF(B45="Campanha Renovação - Móvel",
D45*INDEX($L$3:$N$13,MATCH(B45,$K$3:$K$13,0),I45),
G45*INDEX($L$3:$N$13,MATCH(B45,$K$3:$K$13,0),I45)
),
0)</f>
        <v>124.99</v>
      </c>
    </row>
    <row r="46" spans="1:10" x14ac:dyDescent="0.3">
      <c r="A46" s="7" t="s">
        <v>58</v>
      </c>
      <c r="B46" s="6" t="s">
        <v>10</v>
      </c>
      <c r="C46" s="6" t="s">
        <v>9</v>
      </c>
      <c r="D46" s="6">
        <v>1</v>
      </c>
      <c r="E46" s="8">
        <v>99.99</v>
      </c>
      <c r="F46" s="6" t="s">
        <v>93</v>
      </c>
      <c r="G46" s="12">
        <f t="shared" si="0"/>
        <v>99.99</v>
      </c>
      <c r="H46">
        <f t="shared" si="1"/>
        <v>99.99</v>
      </c>
      <c r="I46">
        <f t="shared" si="2"/>
        <v>2</v>
      </c>
      <c r="J46" s="10" cm="1">
        <f t="array" ref="J46">IFERROR(
IF(B46="Campanha Renovação - Móvel",
D46*INDEX($L$3:$N$13,MATCH(B46,$K$3:$K$13,0),I46),
G46*INDEX($L$3:$N$13,MATCH(B46,$K$3:$K$13,0),I46)
),
0)</f>
        <v>99.99</v>
      </c>
    </row>
    <row r="47" spans="1:10" x14ac:dyDescent="0.3">
      <c r="A47" s="7" t="s">
        <v>59</v>
      </c>
      <c r="B47" s="6" t="s">
        <v>25</v>
      </c>
      <c r="C47" s="6" t="s">
        <v>11</v>
      </c>
      <c r="D47" s="6">
        <v>1</v>
      </c>
      <c r="E47" s="8">
        <v>39.99</v>
      </c>
      <c r="F47" s="6" t="s">
        <v>93</v>
      </c>
      <c r="G47" s="12">
        <f t="shared" si="0"/>
        <v>39.99</v>
      </c>
      <c r="H47">
        <f t="shared" si="1"/>
        <v>39.99</v>
      </c>
      <c r="I47">
        <f t="shared" si="2"/>
        <v>2</v>
      </c>
      <c r="J47" s="10" cm="1">
        <f t="array" ref="J47">IFERROR(
IF(B47="Campanha Renovação - Móvel",
D47*INDEX($L$3:$N$13,MATCH(B47,$K$3:$K$13,0),I47),
G47*INDEX($L$3:$N$13,MATCH(B47,$K$3:$K$13,0),I47)
),
0)</f>
        <v>59.984999999999999</v>
      </c>
    </row>
    <row r="48" spans="1:10" x14ac:dyDescent="0.3">
      <c r="A48" s="7" t="s">
        <v>60</v>
      </c>
      <c r="B48" s="6" t="s">
        <v>27</v>
      </c>
      <c r="C48" s="6" t="s">
        <v>26</v>
      </c>
      <c r="D48" s="6">
        <v>1</v>
      </c>
      <c r="E48" s="8">
        <v>10</v>
      </c>
      <c r="F48" s="6" t="s">
        <v>93</v>
      </c>
      <c r="G48" s="12">
        <f t="shared" si="0"/>
        <v>10</v>
      </c>
      <c r="H48">
        <f t="shared" si="1"/>
        <v>10</v>
      </c>
      <c r="I48">
        <f t="shared" si="2"/>
        <v>2</v>
      </c>
      <c r="J48" s="10" cm="1">
        <f t="array" ref="J48">IFERROR(
IF(B48="Campanha Renovação - Móvel",
D48*INDEX($L$3:$N$13,MATCH(B48,$K$3:$K$13,0),I48),
G48*INDEX($L$3:$N$13,MATCH(B48,$K$3:$K$13,0),I48)
),
0)</f>
        <v>5</v>
      </c>
    </row>
    <row r="49" spans="1:10" x14ac:dyDescent="0.3">
      <c r="A49" s="7" t="s">
        <v>60</v>
      </c>
      <c r="B49" s="6" t="s">
        <v>8</v>
      </c>
      <c r="C49" s="6" t="s">
        <v>9</v>
      </c>
      <c r="D49" s="6">
        <v>1</v>
      </c>
      <c r="E49" s="8">
        <v>99.99</v>
      </c>
      <c r="F49" s="6" t="s">
        <v>93</v>
      </c>
      <c r="G49" s="12">
        <f t="shared" si="0"/>
        <v>99.99</v>
      </c>
      <c r="H49">
        <f t="shared" si="1"/>
        <v>10</v>
      </c>
      <c r="I49">
        <f t="shared" si="2"/>
        <v>2</v>
      </c>
      <c r="J49" s="10" cm="1">
        <f t="array" ref="J49">IFERROR(
IF(B49="Campanha Renovação - Móvel",
D49*INDEX($L$3:$N$13,MATCH(B49,$K$3:$K$13,0),I49),
G49*INDEX($L$3:$N$13,MATCH(B49,$K$3:$K$13,0),I49)
),
0)</f>
        <v>10</v>
      </c>
    </row>
    <row r="50" spans="1:10" x14ac:dyDescent="0.3">
      <c r="A50" s="7" t="s">
        <v>61</v>
      </c>
      <c r="B50" s="6" t="s">
        <v>27</v>
      </c>
      <c r="C50" s="6" t="s">
        <v>26</v>
      </c>
      <c r="D50" s="6">
        <v>1</v>
      </c>
      <c r="E50" s="8">
        <v>10</v>
      </c>
      <c r="F50" s="6" t="s">
        <v>93</v>
      </c>
      <c r="G50" s="12">
        <f t="shared" si="0"/>
        <v>10</v>
      </c>
      <c r="H50">
        <f t="shared" si="1"/>
        <v>10</v>
      </c>
      <c r="I50">
        <f t="shared" si="2"/>
        <v>2</v>
      </c>
      <c r="J50" s="10" cm="1">
        <f t="array" ref="J50">IFERROR(
IF(B50="Campanha Renovação - Móvel",
D50*INDEX($L$3:$N$13,MATCH(B50,$K$3:$K$13,0),I50),
G50*INDEX($L$3:$N$13,MATCH(B50,$K$3:$K$13,0),I50)
),
0)</f>
        <v>5</v>
      </c>
    </row>
    <row r="51" spans="1:10" x14ac:dyDescent="0.3">
      <c r="A51" s="7" t="s">
        <v>61</v>
      </c>
      <c r="B51" s="6" t="s">
        <v>8</v>
      </c>
      <c r="C51" s="6" t="s">
        <v>7</v>
      </c>
      <c r="D51" s="6">
        <v>1</v>
      </c>
      <c r="E51" s="8">
        <v>29.99</v>
      </c>
      <c r="F51" s="6" t="s">
        <v>93</v>
      </c>
      <c r="G51" s="12">
        <f t="shared" si="0"/>
        <v>29.99</v>
      </c>
      <c r="H51">
        <f t="shared" si="1"/>
        <v>10</v>
      </c>
      <c r="I51">
        <f t="shared" si="2"/>
        <v>2</v>
      </c>
      <c r="J51" s="10" cm="1">
        <f t="array" ref="J51">IFERROR(
IF(B51="Campanha Renovação - Móvel",
D51*INDEX($L$3:$N$13,MATCH(B51,$K$3:$K$13,0),I51),
G51*INDEX($L$3:$N$13,MATCH(B51,$K$3:$K$13,0),I51)
),
0)</f>
        <v>10</v>
      </c>
    </row>
    <row r="52" spans="1:10" x14ac:dyDescent="0.3">
      <c r="A52" s="7" t="s">
        <v>61</v>
      </c>
      <c r="B52" s="6" t="s">
        <v>8</v>
      </c>
      <c r="C52" s="6" t="s">
        <v>7</v>
      </c>
      <c r="D52" s="6">
        <v>1</v>
      </c>
      <c r="E52" s="8">
        <v>29.99</v>
      </c>
      <c r="F52" s="6" t="s">
        <v>93</v>
      </c>
      <c r="G52" s="12">
        <f t="shared" si="0"/>
        <v>29.99</v>
      </c>
      <c r="H52">
        <f t="shared" si="1"/>
        <v>10</v>
      </c>
      <c r="I52">
        <f t="shared" si="2"/>
        <v>2</v>
      </c>
      <c r="J52" s="10" cm="1">
        <f t="array" ref="J52">IFERROR(
IF(B52="Campanha Renovação - Móvel",
D52*INDEX($L$3:$N$13,MATCH(B52,$K$3:$K$13,0),I52),
G52*INDEX($L$3:$N$13,MATCH(B52,$K$3:$K$13,0),I52)
),
0)</f>
        <v>10</v>
      </c>
    </row>
    <row r="53" spans="1:10" x14ac:dyDescent="0.3">
      <c r="A53" s="7" t="s">
        <v>61</v>
      </c>
      <c r="B53" s="6" t="s">
        <v>8</v>
      </c>
      <c r="C53" s="6" t="s">
        <v>7</v>
      </c>
      <c r="D53" s="6">
        <v>1</v>
      </c>
      <c r="E53" s="8">
        <v>29.99</v>
      </c>
      <c r="F53" s="6" t="s">
        <v>93</v>
      </c>
      <c r="G53" s="12">
        <f t="shared" si="0"/>
        <v>29.99</v>
      </c>
      <c r="H53">
        <f t="shared" si="1"/>
        <v>10</v>
      </c>
      <c r="I53">
        <f t="shared" si="2"/>
        <v>2</v>
      </c>
      <c r="J53" s="10" cm="1">
        <f t="array" ref="J53">IFERROR(
IF(B53="Campanha Renovação - Móvel",
D53*INDEX($L$3:$N$13,MATCH(B53,$K$3:$K$13,0),I53),
G53*INDEX($L$3:$N$13,MATCH(B53,$K$3:$K$13,0),I53)
),
0)</f>
        <v>10</v>
      </c>
    </row>
    <row r="54" spans="1:10" x14ac:dyDescent="0.3">
      <c r="A54" s="7" t="s">
        <v>61</v>
      </c>
      <c r="B54" s="6" t="s">
        <v>8</v>
      </c>
      <c r="C54" s="6" t="s">
        <v>7</v>
      </c>
      <c r="D54" s="6">
        <v>1</v>
      </c>
      <c r="E54" s="8">
        <v>29.99</v>
      </c>
      <c r="F54" s="6" t="s">
        <v>93</v>
      </c>
      <c r="G54" s="12">
        <f t="shared" si="0"/>
        <v>29.99</v>
      </c>
      <c r="H54">
        <f t="shared" si="1"/>
        <v>10</v>
      </c>
      <c r="I54">
        <f t="shared" si="2"/>
        <v>2</v>
      </c>
      <c r="J54" s="10" cm="1">
        <f t="array" ref="J54">IFERROR(
IF(B54="Campanha Renovação - Móvel",
D54*INDEX($L$3:$N$13,MATCH(B54,$K$3:$K$13,0),I54),
G54*INDEX($L$3:$N$13,MATCH(B54,$K$3:$K$13,0),I54)
),
0)</f>
        <v>10</v>
      </c>
    </row>
    <row r="55" spans="1:10" x14ac:dyDescent="0.3">
      <c r="A55" s="7" t="s">
        <v>61</v>
      </c>
      <c r="B55" s="6" t="s">
        <v>8</v>
      </c>
      <c r="C55" s="6" t="s">
        <v>13</v>
      </c>
      <c r="D55" s="6">
        <v>1</v>
      </c>
      <c r="E55" s="8">
        <v>44.99</v>
      </c>
      <c r="F55" s="6" t="s">
        <v>93</v>
      </c>
      <c r="G55" s="12">
        <f t="shared" si="0"/>
        <v>44.99</v>
      </c>
      <c r="H55">
        <f t="shared" si="1"/>
        <v>10</v>
      </c>
      <c r="I55">
        <f t="shared" si="2"/>
        <v>2</v>
      </c>
      <c r="J55" s="10" cm="1">
        <f t="array" ref="J55">IFERROR(
IF(B55="Campanha Renovação - Móvel",
D55*INDEX($L$3:$N$13,MATCH(B55,$K$3:$K$13,0),I55),
G55*INDEX($L$3:$N$13,MATCH(B55,$K$3:$K$13,0),I55)
),
0)</f>
        <v>10</v>
      </c>
    </row>
    <row r="56" spans="1:10" x14ac:dyDescent="0.3">
      <c r="A56" s="7" t="s">
        <v>61</v>
      </c>
      <c r="B56" s="6" t="s">
        <v>8</v>
      </c>
      <c r="C56" s="6" t="s">
        <v>9</v>
      </c>
      <c r="D56" s="6">
        <v>1</v>
      </c>
      <c r="E56" s="8">
        <v>99.99</v>
      </c>
      <c r="F56" s="6" t="s">
        <v>93</v>
      </c>
      <c r="G56" s="12">
        <f t="shared" si="0"/>
        <v>99.99</v>
      </c>
      <c r="H56">
        <f t="shared" si="1"/>
        <v>10</v>
      </c>
      <c r="I56">
        <f t="shared" si="2"/>
        <v>2</v>
      </c>
      <c r="J56" s="10" cm="1">
        <f t="array" ref="J56">IFERROR(
IF(B56="Campanha Renovação - Móvel",
D56*INDEX($L$3:$N$13,MATCH(B56,$K$3:$K$13,0),I56),
G56*INDEX($L$3:$N$13,MATCH(B56,$K$3:$K$13,0),I56)
),
0)</f>
        <v>10</v>
      </c>
    </row>
    <row r="57" spans="1:10" x14ac:dyDescent="0.3">
      <c r="A57" s="7" t="s">
        <v>62</v>
      </c>
      <c r="B57" s="6" t="s">
        <v>10</v>
      </c>
      <c r="C57" s="6" t="s">
        <v>9</v>
      </c>
      <c r="D57" s="6">
        <v>1</v>
      </c>
      <c r="E57" s="8">
        <v>99.99</v>
      </c>
      <c r="F57" s="6" t="s">
        <v>93</v>
      </c>
      <c r="G57" s="12">
        <f t="shared" si="0"/>
        <v>99.99</v>
      </c>
      <c r="H57">
        <f t="shared" si="1"/>
        <v>99.99</v>
      </c>
      <c r="I57">
        <f t="shared" si="2"/>
        <v>2</v>
      </c>
      <c r="J57" s="10" cm="1">
        <f t="array" ref="J57">IFERROR(
IF(B57="Campanha Renovação - Móvel",
D57*INDEX($L$3:$N$13,MATCH(B57,$K$3:$K$13,0),I57),
G57*INDEX($L$3:$N$13,MATCH(B57,$K$3:$K$13,0),I57)
),
0)</f>
        <v>99.99</v>
      </c>
    </row>
    <row r="58" spans="1:10" x14ac:dyDescent="0.3">
      <c r="A58" s="7" t="s">
        <v>62</v>
      </c>
      <c r="B58" s="6" t="s">
        <v>8</v>
      </c>
      <c r="C58" s="6" t="s">
        <v>7</v>
      </c>
      <c r="D58" s="6">
        <v>1</v>
      </c>
      <c r="E58" s="8">
        <v>29.99</v>
      </c>
      <c r="F58" s="6" t="s">
        <v>93</v>
      </c>
      <c r="G58" s="12">
        <f t="shared" si="0"/>
        <v>29.99</v>
      </c>
      <c r="H58">
        <f t="shared" si="1"/>
        <v>10</v>
      </c>
      <c r="I58">
        <f t="shared" si="2"/>
        <v>2</v>
      </c>
      <c r="J58" s="10" cm="1">
        <f t="array" ref="J58">IFERROR(
IF(B58="Campanha Renovação - Móvel",
D58*INDEX($L$3:$N$13,MATCH(B58,$K$3:$K$13,0),I58),
G58*INDEX($L$3:$N$13,MATCH(B58,$K$3:$K$13,0),I58)
),
0)</f>
        <v>10</v>
      </c>
    </row>
    <row r="59" spans="1:10" x14ac:dyDescent="0.3">
      <c r="A59" s="7" t="s">
        <v>62</v>
      </c>
      <c r="B59" s="6" t="s">
        <v>8</v>
      </c>
      <c r="C59" s="6" t="s">
        <v>7</v>
      </c>
      <c r="D59" s="6">
        <v>1</v>
      </c>
      <c r="E59" s="8">
        <v>29.99</v>
      </c>
      <c r="F59" s="6" t="s">
        <v>93</v>
      </c>
      <c r="G59" s="12">
        <f t="shared" si="0"/>
        <v>29.99</v>
      </c>
      <c r="H59">
        <f t="shared" si="1"/>
        <v>10</v>
      </c>
      <c r="I59">
        <f t="shared" si="2"/>
        <v>2</v>
      </c>
      <c r="J59" s="10" cm="1">
        <f t="array" ref="J59">IFERROR(
IF(B59="Campanha Renovação - Móvel",
D59*INDEX($L$3:$N$13,MATCH(B59,$K$3:$K$13,0),I59),
G59*INDEX($L$3:$N$13,MATCH(B59,$K$3:$K$13,0),I59)
),
0)</f>
        <v>10</v>
      </c>
    </row>
    <row r="60" spans="1:10" x14ac:dyDescent="0.3">
      <c r="A60" s="7" t="s">
        <v>62</v>
      </c>
      <c r="B60" s="6" t="s">
        <v>8</v>
      </c>
      <c r="C60" s="6" t="s">
        <v>7</v>
      </c>
      <c r="D60" s="6">
        <v>1</v>
      </c>
      <c r="E60" s="8">
        <v>29.99</v>
      </c>
      <c r="F60" s="6" t="s">
        <v>93</v>
      </c>
      <c r="G60" s="12">
        <f t="shared" si="0"/>
        <v>29.99</v>
      </c>
      <c r="H60">
        <f t="shared" si="1"/>
        <v>10</v>
      </c>
      <c r="I60">
        <f t="shared" si="2"/>
        <v>2</v>
      </c>
      <c r="J60" s="10" cm="1">
        <f t="array" ref="J60">IFERROR(
IF(B60="Campanha Renovação - Móvel",
D60*INDEX($L$3:$N$13,MATCH(B60,$K$3:$K$13,0),I60),
G60*INDEX($L$3:$N$13,MATCH(B60,$K$3:$K$13,0),I60)
),
0)</f>
        <v>10</v>
      </c>
    </row>
    <row r="61" spans="1:10" x14ac:dyDescent="0.3">
      <c r="A61" s="7" t="s">
        <v>62</v>
      </c>
      <c r="B61" s="6" t="s">
        <v>8</v>
      </c>
      <c r="C61" s="6" t="s">
        <v>7</v>
      </c>
      <c r="D61" s="6">
        <v>1</v>
      </c>
      <c r="E61" s="8">
        <v>29.99</v>
      </c>
      <c r="F61" s="6" t="s">
        <v>93</v>
      </c>
      <c r="G61" s="12">
        <f t="shared" si="0"/>
        <v>29.99</v>
      </c>
      <c r="H61">
        <f t="shared" si="1"/>
        <v>10</v>
      </c>
      <c r="I61">
        <f t="shared" si="2"/>
        <v>2</v>
      </c>
      <c r="J61" s="10" cm="1">
        <f t="array" ref="J61">IFERROR(
IF(B61="Campanha Renovação - Móvel",
D61*INDEX($L$3:$N$13,MATCH(B61,$K$3:$K$13,0),I61),
G61*INDEX($L$3:$N$13,MATCH(B61,$K$3:$K$13,0),I61)
),
0)</f>
        <v>10</v>
      </c>
    </row>
    <row r="62" spans="1:10" x14ac:dyDescent="0.3">
      <c r="A62" s="7" t="s">
        <v>62</v>
      </c>
      <c r="B62" s="6" t="s">
        <v>8</v>
      </c>
      <c r="C62" s="6" t="s">
        <v>11</v>
      </c>
      <c r="D62" s="6">
        <v>1</v>
      </c>
      <c r="E62" s="8">
        <v>39.99</v>
      </c>
      <c r="F62" s="6" t="s">
        <v>93</v>
      </c>
      <c r="G62" s="12">
        <f t="shared" si="0"/>
        <v>39.99</v>
      </c>
      <c r="H62">
        <f t="shared" si="1"/>
        <v>10</v>
      </c>
      <c r="I62">
        <f t="shared" si="2"/>
        <v>2</v>
      </c>
      <c r="J62" s="10" cm="1">
        <f t="array" ref="J62">IFERROR(
IF(B62="Campanha Renovação - Móvel",
D62*INDEX($L$3:$N$13,MATCH(B62,$K$3:$K$13,0),I62),
G62*INDEX($L$3:$N$13,MATCH(B62,$K$3:$K$13,0),I62)
),
0)</f>
        <v>10</v>
      </c>
    </row>
    <row r="63" spans="1:10" x14ac:dyDescent="0.3">
      <c r="A63" s="7" t="s">
        <v>63</v>
      </c>
      <c r="B63" s="6" t="s">
        <v>27</v>
      </c>
      <c r="C63" s="6" t="s">
        <v>26</v>
      </c>
      <c r="D63" s="6">
        <v>1</v>
      </c>
      <c r="E63" s="8">
        <v>10</v>
      </c>
      <c r="F63" s="6" t="s">
        <v>93</v>
      </c>
      <c r="G63" s="12">
        <f t="shared" si="0"/>
        <v>10</v>
      </c>
      <c r="H63">
        <f t="shared" si="1"/>
        <v>10</v>
      </c>
      <c r="I63">
        <f t="shared" si="2"/>
        <v>2</v>
      </c>
      <c r="J63" s="10" cm="1">
        <f t="array" ref="J63">IFERROR(
IF(B63="Campanha Renovação - Móvel",
D63*INDEX($L$3:$N$13,MATCH(B63,$K$3:$K$13,0),I63),
G63*INDEX($L$3:$N$13,MATCH(B63,$K$3:$K$13,0),I63)
),
0)</f>
        <v>5</v>
      </c>
    </row>
    <row r="64" spans="1:10" x14ac:dyDescent="0.3">
      <c r="A64" s="7" t="s">
        <v>63</v>
      </c>
      <c r="B64" s="6" t="s">
        <v>8</v>
      </c>
      <c r="C64" s="6" t="s">
        <v>7</v>
      </c>
      <c r="D64" s="6">
        <v>1</v>
      </c>
      <c r="E64" s="8">
        <v>29.99</v>
      </c>
      <c r="F64" s="6" t="s">
        <v>93</v>
      </c>
      <c r="G64" s="12">
        <f t="shared" si="0"/>
        <v>29.99</v>
      </c>
      <c r="H64">
        <f t="shared" si="1"/>
        <v>10</v>
      </c>
      <c r="I64">
        <f t="shared" si="2"/>
        <v>2</v>
      </c>
      <c r="J64" s="10" cm="1">
        <f t="array" ref="J64">IFERROR(
IF(B64="Campanha Renovação - Móvel",
D64*INDEX($L$3:$N$13,MATCH(B64,$K$3:$K$13,0),I64),
G64*INDEX($L$3:$N$13,MATCH(B64,$K$3:$K$13,0),I64)
),
0)</f>
        <v>10</v>
      </c>
    </row>
    <row r="65" spans="1:10" x14ac:dyDescent="0.3">
      <c r="A65" s="7" t="s">
        <v>63</v>
      </c>
      <c r="B65" s="6" t="s">
        <v>8</v>
      </c>
      <c r="C65" s="6" t="s">
        <v>28</v>
      </c>
      <c r="D65" s="6">
        <v>1</v>
      </c>
      <c r="E65" s="8">
        <v>69.989999999999995</v>
      </c>
      <c r="F65" s="6" t="s">
        <v>93</v>
      </c>
      <c r="G65" s="12">
        <f t="shared" si="0"/>
        <v>69.989999999999995</v>
      </c>
      <c r="H65">
        <f t="shared" si="1"/>
        <v>10</v>
      </c>
      <c r="I65">
        <f t="shared" si="2"/>
        <v>2</v>
      </c>
      <c r="J65" s="10" cm="1">
        <f t="array" ref="J65">IFERROR(
IF(B65="Campanha Renovação - Móvel",
D65*INDEX($L$3:$N$13,MATCH(B65,$K$3:$K$13,0),I65),
G65*INDEX($L$3:$N$13,MATCH(B65,$K$3:$K$13,0),I65)
),
0)</f>
        <v>10</v>
      </c>
    </row>
    <row r="66" spans="1:10" x14ac:dyDescent="0.3">
      <c r="A66" s="7" t="s">
        <v>64</v>
      </c>
      <c r="B66" s="6" t="s">
        <v>27</v>
      </c>
      <c r="C66" s="6" t="s">
        <v>26</v>
      </c>
      <c r="D66" s="6">
        <v>1</v>
      </c>
      <c r="E66" s="8">
        <v>10</v>
      </c>
      <c r="F66" s="6" t="s">
        <v>93</v>
      </c>
      <c r="G66" s="12">
        <f t="shared" si="0"/>
        <v>10</v>
      </c>
      <c r="H66">
        <f t="shared" si="1"/>
        <v>10</v>
      </c>
      <c r="I66">
        <f t="shared" si="2"/>
        <v>2</v>
      </c>
      <c r="J66" s="10" cm="1">
        <f t="array" ref="J66">IFERROR(
IF(B66="Campanha Renovação - Móvel",
D66*INDEX($L$3:$N$13,MATCH(B66,$K$3:$K$13,0),I66),
G66*INDEX($L$3:$N$13,MATCH(B66,$K$3:$K$13,0),I66)
),
0)</f>
        <v>5</v>
      </c>
    </row>
    <row r="67" spans="1:10" x14ac:dyDescent="0.3">
      <c r="A67" s="7" t="s">
        <v>64</v>
      </c>
      <c r="B67" s="6" t="s">
        <v>8</v>
      </c>
      <c r="C67" s="6" t="s">
        <v>7</v>
      </c>
      <c r="D67" s="6">
        <v>1</v>
      </c>
      <c r="E67" s="8">
        <v>29.99</v>
      </c>
      <c r="F67" s="6" t="s">
        <v>93</v>
      </c>
      <c r="G67" s="12">
        <f t="shared" ref="G67:G130" si="3">D67*E67</f>
        <v>29.99</v>
      </c>
      <c r="H67">
        <f t="shared" ref="H67:H130" si="4">IF(B67="Básica - Campanha Renovação",0,IF(B67="Campanha Renovação - Móvel",10*D67,IF(B67="Básica PF",G67*0.5,G67)))</f>
        <v>10</v>
      </c>
      <c r="I67">
        <f t="shared" ref="I67:I130" si="5">VLOOKUP(F67,$R$4:$T$6,3,FALSE)</f>
        <v>2</v>
      </c>
      <c r="J67" s="10" cm="1">
        <f t="array" ref="J67">IFERROR(
IF(B67="Campanha Renovação - Móvel",
D67*INDEX($L$3:$N$13,MATCH(B67,$K$3:$K$13,0),I67),
G67*INDEX($L$3:$N$13,MATCH(B67,$K$3:$K$13,0),I67)
),
0)</f>
        <v>10</v>
      </c>
    </row>
    <row r="68" spans="1:10" x14ac:dyDescent="0.3">
      <c r="A68" s="7" t="s">
        <v>64</v>
      </c>
      <c r="B68" s="6" t="s">
        <v>8</v>
      </c>
      <c r="C68" s="6" t="s">
        <v>7</v>
      </c>
      <c r="D68" s="6">
        <v>1</v>
      </c>
      <c r="E68" s="8">
        <v>29.99</v>
      </c>
      <c r="F68" s="6" t="s">
        <v>93</v>
      </c>
      <c r="G68" s="12">
        <f t="shared" si="3"/>
        <v>29.99</v>
      </c>
      <c r="H68">
        <f t="shared" si="4"/>
        <v>10</v>
      </c>
      <c r="I68">
        <f t="shared" si="5"/>
        <v>2</v>
      </c>
      <c r="J68" s="10" cm="1">
        <f t="array" ref="J68">IFERROR(
IF(B68="Campanha Renovação - Móvel",
D68*INDEX($L$3:$N$13,MATCH(B68,$K$3:$K$13,0),I68),
G68*INDEX($L$3:$N$13,MATCH(B68,$K$3:$K$13,0),I68)
),
0)</f>
        <v>10</v>
      </c>
    </row>
    <row r="69" spans="1:10" x14ac:dyDescent="0.3">
      <c r="A69" s="7" t="s">
        <v>64</v>
      </c>
      <c r="B69" s="6" t="s">
        <v>8</v>
      </c>
      <c r="C69" s="6" t="s">
        <v>7</v>
      </c>
      <c r="D69" s="6">
        <v>1</v>
      </c>
      <c r="E69" s="8">
        <v>29.99</v>
      </c>
      <c r="F69" s="6" t="s">
        <v>93</v>
      </c>
      <c r="G69" s="12">
        <f t="shared" si="3"/>
        <v>29.99</v>
      </c>
      <c r="H69">
        <f t="shared" si="4"/>
        <v>10</v>
      </c>
      <c r="I69">
        <f t="shared" si="5"/>
        <v>2</v>
      </c>
      <c r="J69" s="10" cm="1">
        <f t="array" ref="J69">IFERROR(
IF(B69="Campanha Renovação - Móvel",
D69*INDEX($L$3:$N$13,MATCH(B69,$K$3:$K$13,0),I69),
G69*INDEX($L$3:$N$13,MATCH(B69,$K$3:$K$13,0),I69)
),
0)</f>
        <v>10</v>
      </c>
    </row>
    <row r="70" spans="1:10" x14ac:dyDescent="0.3">
      <c r="A70" s="7" t="s">
        <v>64</v>
      </c>
      <c r="B70" s="6" t="s">
        <v>8</v>
      </c>
      <c r="C70" s="6" t="s">
        <v>7</v>
      </c>
      <c r="D70" s="6">
        <v>1</v>
      </c>
      <c r="E70" s="8">
        <v>29.99</v>
      </c>
      <c r="F70" s="6" t="s">
        <v>93</v>
      </c>
      <c r="G70" s="12">
        <f t="shared" si="3"/>
        <v>29.99</v>
      </c>
      <c r="H70">
        <f t="shared" si="4"/>
        <v>10</v>
      </c>
      <c r="I70">
        <f t="shared" si="5"/>
        <v>2</v>
      </c>
      <c r="J70" s="10" cm="1">
        <f t="array" ref="J70">IFERROR(
IF(B70="Campanha Renovação - Móvel",
D70*INDEX($L$3:$N$13,MATCH(B70,$K$3:$K$13,0),I70),
G70*INDEX($L$3:$N$13,MATCH(B70,$K$3:$K$13,0),I70)
),
0)</f>
        <v>10</v>
      </c>
    </row>
    <row r="71" spans="1:10" x14ac:dyDescent="0.3">
      <c r="A71" s="7" t="s">
        <v>64</v>
      </c>
      <c r="B71" s="6" t="s">
        <v>8</v>
      </c>
      <c r="C71" s="6" t="s">
        <v>9</v>
      </c>
      <c r="D71" s="6">
        <v>1</v>
      </c>
      <c r="E71" s="8">
        <v>99.99</v>
      </c>
      <c r="F71" s="6" t="s">
        <v>93</v>
      </c>
      <c r="G71" s="12">
        <f t="shared" si="3"/>
        <v>99.99</v>
      </c>
      <c r="H71">
        <f t="shared" si="4"/>
        <v>10</v>
      </c>
      <c r="I71">
        <f t="shared" si="5"/>
        <v>2</v>
      </c>
      <c r="J71" s="10" cm="1">
        <f t="array" ref="J71">IFERROR(
IF(B71="Campanha Renovação - Móvel",
D71*INDEX($L$3:$N$13,MATCH(B71,$K$3:$K$13,0),I71),
G71*INDEX($L$3:$N$13,MATCH(B71,$K$3:$K$13,0),I71)
),
0)</f>
        <v>10</v>
      </c>
    </row>
    <row r="72" spans="1:10" x14ac:dyDescent="0.3">
      <c r="A72" s="7" t="s">
        <v>56</v>
      </c>
      <c r="B72" s="6" t="s">
        <v>27</v>
      </c>
      <c r="C72" s="6" t="s">
        <v>26</v>
      </c>
      <c r="D72" s="6">
        <v>1</v>
      </c>
      <c r="E72" s="8">
        <v>10</v>
      </c>
      <c r="F72" s="6" t="s">
        <v>93</v>
      </c>
      <c r="G72" s="12">
        <f t="shared" si="3"/>
        <v>10</v>
      </c>
      <c r="H72">
        <f t="shared" si="4"/>
        <v>10</v>
      </c>
      <c r="I72">
        <f t="shared" si="5"/>
        <v>2</v>
      </c>
      <c r="J72" s="10" cm="1">
        <f t="array" ref="J72">IFERROR(
IF(B72="Campanha Renovação - Móvel",
D72*INDEX($L$3:$N$13,MATCH(B72,$K$3:$K$13,0),I72),
G72*INDEX($L$3:$N$13,MATCH(B72,$K$3:$K$13,0),I72)
),
0)</f>
        <v>5</v>
      </c>
    </row>
    <row r="73" spans="1:10" x14ac:dyDescent="0.3">
      <c r="A73" s="7" t="s">
        <v>56</v>
      </c>
      <c r="B73" s="6" t="s">
        <v>8</v>
      </c>
      <c r="C73" s="6" t="s">
        <v>12</v>
      </c>
      <c r="D73" s="6">
        <v>1</v>
      </c>
      <c r="E73" s="8">
        <v>49.99</v>
      </c>
      <c r="F73" s="6" t="s">
        <v>93</v>
      </c>
      <c r="G73" s="12">
        <f t="shared" si="3"/>
        <v>49.99</v>
      </c>
      <c r="H73">
        <f t="shared" si="4"/>
        <v>10</v>
      </c>
      <c r="I73">
        <f t="shared" si="5"/>
        <v>2</v>
      </c>
      <c r="J73" s="10" cm="1">
        <f t="array" ref="J73">IFERROR(
IF(B73="Campanha Renovação - Móvel",
D73*INDEX($L$3:$N$13,MATCH(B73,$K$3:$K$13,0),I73),
G73*INDEX($L$3:$N$13,MATCH(B73,$K$3:$K$13,0),I73)
),
0)</f>
        <v>10</v>
      </c>
    </row>
    <row r="74" spans="1:10" x14ac:dyDescent="0.3">
      <c r="A74" s="7" t="s">
        <v>56</v>
      </c>
      <c r="B74" s="6" t="s">
        <v>8</v>
      </c>
      <c r="C74" s="6" t="s">
        <v>7</v>
      </c>
      <c r="D74" s="6">
        <v>1</v>
      </c>
      <c r="E74" s="8">
        <v>29.99</v>
      </c>
      <c r="F74" s="6" t="s">
        <v>93</v>
      </c>
      <c r="G74" s="12">
        <f t="shared" si="3"/>
        <v>29.99</v>
      </c>
      <c r="H74">
        <f t="shared" si="4"/>
        <v>10</v>
      </c>
      <c r="I74">
        <f t="shared" si="5"/>
        <v>2</v>
      </c>
      <c r="J74" s="10" cm="1">
        <f t="array" ref="J74">IFERROR(
IF(B74="Campanha Renovação - Móvel",
D74*INDEX($L$3:$N$13,MATCH(B74,$K$3:$K$13,0),I74),
G74*INDEX($L$3:$N$13,MATCH(B74,$K$3:$K$13,0),I74)
),
0)</f>
        <v>10</v>
      </c>
    </row>
    <row r="75" spans="1:10" x14ac:dyDescent="0.3">
      <c r="A75" s="7" t="s">
        <v>56</v>
      </c>
      <c r="B75" s="6" t="s">
        <v>8</v>
      </c>
      <c r="C75" s="6" t="s">
        <v>7</v>
      </c>
      <c r="D75" s="6">
        <v>1</v>
      </c>
      <c r="E75" s="8">
        <v>29.99</v>
      </c>
      <c r="F75" s="6" t="s">
        <v>93</v>
      </c>
      <c r="G75" s="12">
        <f t="shared" si="3"/>
        <v>29.99</v>
      </c>
      <c r="H75">
        <f t="shared" si="4"/>
        <v>10</v>
      </c>
      <c r="I75">
        <f t="shared" si="5"/>
        <v>2</v>
      </c>
      <c r="J75" s="10" cm="1">
        <f t="array" ref="J75">IFERROR(
IF(B75="Campanha Renovação - Móvel",
D75*INDEX($L$3:$N$13,MATCH(B75,$K$3:$K$13,0),I75),
G75*INDEX($L$3:$N$13,MATCH(B75,$K$3:$K$13,0),I75)
),
0)</f>
        <v>10</v>
      </c>
    </row>
    <row r="76" spans="1:10" x14ac:dyDescent="0.3">
      <c r="A76" s="7" t="s">
        <v>65</v>
      </c>
      <c r="B76" s="6" t="s">
        <v>10</v>
      </c>
      <c r="C76" s="6" t="s">
        <v>9</v>
      </c>
      <c r="D76" s="6">
        <v>1</v>
      </c>
      <c r="E76" s="8">
        <v>99.99</v>
      </c>
      <c r="F76" s="6" t="s">
        <v>93</v>
      </c>
      <c r="G76" s="12">
        <f t="shared" si="3"/>
        <v>99.99</v>
      </c>
      <c r="H76">
        <f t="shared" si="4"/>
        <v>99.99</v>
      </c>
      <c r="I76">
        <f t="shared" si="5"/>
        <v>2</v>
      </c>
      <c r="J76" s="10" cm="1">
        <f t="array" ref="J76">IFERROR(
IF(B76="Campanha Renovação - Móvel",
D76*INDEX($L$3:$N$13,MATCH(B76,$K$3:$K$13,0),I76),
G76*INDEX($L$3:$N$13,MATCH(B76,$K$3:$K$13,0),I76)
),
0)</f>
        <v>99.99</v>
      </c>
    </row>
    <row r="77" spans="1:10" x14ac:dyDescent="0.3">
      <c r="A77" s="7" t="s">
        <v>65</v>
      </c>
      <c r="B77" s="6" t="s">
        <v>10</v>
      </c>
      <c r="C77" s="6" t="s">
        <v>9</v>
      </c>
      <c r="D77" s="6">
        <v>1</v>
      </c>
      <c r="E77" s="8">
        <v>99.99</v>
      </c>
      <c r="F77" s="6" t="s">
        <v>93</v>
      </c>
      <c r="G77" s="12">
        <f t="shared" si="3"/>
        <v>99.99</v>
      </c>
      <c r="H77">
        <f t="shared" si="4"/>
        <v>99.99</v>
      </c>
      <c r="I77">
        <f t="shared" si="5"/>
        <v>2</v>
      </c>
      <c r="J77" s="10" cm="1">
        <f t="array" ref="J77">IFERROR(
IF(B77="Campanha Renovação - Móvel",
D77*INDEX($L$3:$N$13,MATCH(B77,$K$3:$K$13,0),I77),
G77*INDEX($L$3:$N$13,MATCH(B77,$K$3:$K$13,0),I77)
),
0)</f>
        <v>99.99</v>
      </c>
    </row>
    <row r="78" spans="1:10" x14ac:dyDescent="0.3">
      <c r="A78" s="7" t="s">
        <v>65</v>
      </c>
      <c r="B78" s="6" t="s">
        <v>10</v>
      </c>
      <c r="C78" s="6" t="s">
        <v>9</v>
      </c>
      <c r="D78" s="6">
        <v>1</v>
      </c>
      <c r="E78" s="8">
        <v>99.99</v>
      </c>
      <c r="F78" s="6" t="s">
        <v>93</v>
      </c>
      <c r="G78" s="12">
        <f t="shared" si="3"/>
        <v>99.99</v>
      </c>
      <c r="H78">
        <f t="shared" si="4"/>
        <v>99.99</v>
      </c>
      <c r="I78">
        <f t="shared" si="5"/>
        <v>2</v>
      </c>
      <c r="J78" s="10" cm="1">
        <f t="array" ref="J78">IFERROR(
IF(B78="Campanha Renovação - Móvel",
D78*INDEX($L$3:$N$13,MATCH(B78,$K$3:$K$13,0),I78),
G78*INDEX($L$3:$N$13,MATCH(B78,$K$3:$K$13,0),I78)
),
0)</f>
        <v>99.99</v>
      </c>
    </row>
    <row r="79" spans="1:10" x14ac:dyDescent="0.3">
      <c r="A79" s="7" t="s">
        <v>65</v>
      </c>
      <c r="B79" s="6" t="s">
        <v>8</v>
      </c>
      <c r="C79" s="6" t="s">
        <v>7</v>
      </c>
      <c r="D79" s="6">
        <v>1</v>
      </c>
      <c r="E79" s="8">
        <v>29.99</v>
      </c>
      <c r="F79" s="6" t="s">
        <v>93</v>
      </c>
      <c r="G79" s="12">
        <f t="shared" si="3"/>
        <v>29.99</v>
      </c>
      <c r="H79">
        <f t="shared" si="4"/>
        <v>10</v>
      </c>
      <c r="I79">
        <f t="shared" si="5"/>
        <v>2</v>
      </c>
      <c r="J79" s="10" cm="1">
        <f t="array" ref="J79">IFERROR(
IF(B79="Campanha Renovação - Móvel",
D79*INDEX($L$3:$N$13,MATCH(B79,$K$3:$K$13,0),I79),
G79*INDEX($L$3:$N$13,MATCH(B79,$K$3:$K$13,0),I79)
),
0)</f>
        <v>10</v>
      </c>
    </row>
    <row r="80" spans="1:10" x14ac:dyDescent="0.3">
      <c r="A80" s="7" t="s">
        <v>65</v>
      </c>
      <c r="B80" s="6" t="s">
        <v>8</v>
      </c>
      <c r="C80" s="6" t="s">
        <v>7</v>
      </c>
      <c r="D80" s="6">
        <v>1</v>
      </c>
      <c r="E80" s="8">
        <v>29.99</v>
      </c>
      <c r="F80" s="6" t="s">
        <v>93</v>
      </c>
      <c r="G80" s="12">
        <f t="shared" si="3"/>
        <v>29.99</v>
      </c>
      <c r="H80">
        <f t="shared" si="4"/>
        <v>10</v>
      </c>
      <c r="I80">
        <f t="shared" si="5"/>
        <v>2</v>
      </c>
      <c r="J80" s="10" cm="1">
        <f t="array" ref="J80">IFERROR(
IF(B80="Campanha Renovação - Móvel",
D80*INDEX($L$3:$N$13,MATCH(B80,$K$3:$K$13,0),I80),
G80*INDEX($L$3:$N$13,MATCH(B80,$K$3:$K$13,0),I80)
),
0)</f>
        <v>10</v>
      </c>
    </row>
    <row r="81" spans="1:10" x14ac:dyDescent="0.3">
      <c r="A81" s="7" t="s">
        <v>65</v>
      </c>
      <c r="B81" s="6" t="s">
        <v>8</v>
      </c>
      <c r="C81" s="6" t="s">
        <v>7</v>
      </c>
      <c r="D81" s="6">
        <v>1</v>
      </c>
      <c r="E81" s="8">
        <v>29.99</v>
      </c>
      <c r="F81" s="6" t="s">
        <v>93</v>
      </c>
      <c r="G81" s="12">
        <f t="shared" si="3"/>
        <v>29.99</v>
      </c>
      <c r="H81">
        <f t="shared" si="4"/>
        <v>10</v>
      </c>
      <c r="I81">
        <f t="shared" si="5"/>
        <v>2</v>
      </c>
      <c r="J81" s="10" cm="1">
        <f t="array" ref="J81">IFERROR(
IF(B81="Campanha Renovação - Móvel",
D81*INDEX($L$3:$N$13,MATCH(B81,$K$3:$K$13,0),I81),
G81*INDEX($L$3:$N$13,MATCH(B81,$K$3:$K$13,0),I81)
),
0)</f>
        <v>10</v>
      </c>
    </row>
    <row r="82" spans="1:10" x14ac:dyDescent="0.3">
      <c r="A82" s="7" t="s">
        <v>65</v>
      </c>
      <c r="B82" s="6" t="s">
        <v>8</v>
      </c>
      <c r="C82" s="6" t="s">
        <v>7</v>
      </c>
      <c r="D82" s="6">
        <v>1</v>
      </c>
      <c r="E82" s="8">
        <v>29.99</v>
      </c>
      <c r="F82" s="6" t="s">
        <v>93</v>
      </c>
      <c r="G82" s="12">
        <f t="shared" si="3"/>
        <v>29.99</v>
      </c>
      <c r="H82">
        <f t="shared" si="4"/>
        <v>10</v>
      </c>
      <c r="I82">
        <f t="shared" si="5"/>
        <v>2</v>
      </c>
      <c r="J82" s="10" cm="1">
        <f t="array" ref="J82">IFERROR(
IF(B82="Campanha Renovação - Móvel",
D82*INDEX($L$3:$N$13,MATCH(B82,$K$3:$K$13,0),I82),
G82*INDEX($L$3:$N$13,MATCH(B82,$K$3:$K$13,0),I82)
),
0)</f>
        <v>10</v>
      </c>
    </row>
    <row r="83" spans="1:10" x14ac:dyDescent="0.3">
      <c r="A83" s="7" t="s">
        <v>65</v>
      </c>
      <c r="B83" s="6" t="s">
        <v>8</v>
      </c>
      <c r="C83" s="6" t="s">
        <v>7</v>
      </c>
      <c r="D83" s="6">
        <v>1</v>
      </c>
      <c r="E83" s="8">
        <v>29.99</v>
      </c>
      <c r="F83" s="6" t="s">
        <v>93</v>
      </c>
      <c r="G83" s="12">
        <f t="shared" si="3"/>
        <v>29.99</v>
      </c>
      <c r="H83">
        <f t="shared" si="4"/>
        <v>10</v>
      </c>
      <c r="I83">
        <f t="shared" si="5"/>
        <v>2</v>
      </c>
      <c r="J83" s="10" cm="1">
        <f t="array" ref="J83">IFERROR(
IF(B83="Campanha Renovação - Móvel",
D83*INDEX($L$3:$N$13,MATCH(B83,$K$3:$K$13,0),I83),
G83*INDEX($L$3:$N$13,MATCH(B83,$K$3:$K$13,0),I83)
),
0)</f>
        <v>10</v>
      </c>
    </row>
    <row r="84" spans="1:10" x14ac:dyDescent="0.3">
      <c r="A84" s="7" t="s">
        <v>65</v>
      </c>
      <c r="B84" s="6" t="s">
        <v>8</v>
      </c>
      <c r="C84" s="6" t="s">
        <v>7</v>
      </c>
      <c r="D84" s="6">
        <v>1</v>
      </c>
      <c r="E84" s="8">
        <v>29.99</v>
      </c>
      <c r="F84" s="6" t="s">
        <v>93</v>
      </c>
      <c r="G84" s="12">
        <f t="shared" si="3"/>
        <v>29.99</v>
      </c>
      <c r="H84">
        <f t="shared" si="4"/>
        <v>10</v>
      </c>
      <c r="I84">
        <f t="shared" si="5"/>
        <v>2</v>
      </c>
      <c r="J84" s="10" cm="1">
        <f t="array" ref="J84">IFERROR(
IF(B84="Campanha Renovação - Móvel",
D84*INDEX($L$3:$N$13,MATCH(B84,$K$3:$K$13,0),I84),
G84*INDEX($L$3:$N$13,MATCH(B84,$K$3:$K$13,0),I84)
),
0)</f>
        <v>10</v>
      </c>
    </row>
    <row r="85" spans="1:10" x14ac:dyDescent="0.3">
      <c r="A85" s="7" t="s">
        <v>65</v>
      </c>
      <c r="B85" s="6" t="s">
        <v>8</v>
      </c>
      <c r="C85" s="6" t="s">
        <v>7</v>
      </c>
      <c r="D85" s="6">
        <v>1</v>
      </c>
      <c r="E85" s="8">
        <v>29.99</v>
      </c>
      <c r="F85" s="6" t="s">
        <v>93</v>
      </c>
      <c r="G85" s="12">
        <f t="shared" si="3"/>
        <v>29.99</v>
      </c>
      <c r="H85">
        <f t="shared" si="4"/>
        <v>10</v>
      </c>
      <c r="I85">
        <f t="shared" si="5"/>
        <v>2</v>
      </c>
      <c r="J85" s="10" cm="1">
        <f t="array" ref="J85">IFERROR(
IF(B85="Campanha Renovação - Móvel",
D85*INDEX($L$3:$N$13,MATCH(B85,$K$3:$K$13,0),I85),
G85*INDEX($L$3:$N$13,MATCH(B85,$K$3:$K$13,0),I85)
),
0)</f>
        <v>10</v>
      </c>
    </row>
    <row r="86" spans="1:10" x14ac:dyDescent="0.3">
      <c r="A86" s="7" t="s">
        <v>65</v>
      </c>
      <c r="B86" s="6" t="s">
        <v>8</v>
      </c>
      <c r="C86" s="6" t="s">
        <v>7</v>
      </c>
      <c r="D86" s="6">
        <v>1</v>
      </c>
      <c r="E86" s="8">
        <v>29.99</v>
      </c>
      <c r="F86" s="6" t="s">
        <v>93</v>
      </c>
      <c r="G86" s="12">
        <f t="shared" si="3"/>
        <v>29.99</v>
      </c>
      <c r="H86">
        <f t="shared" si="4"/>
        <v>10</v>
      </c>
      <c r="I86">
        <f t="shared" si="5"/>
        <v>2</v>
      </c>
      <c r="J86" s="10" cm="1">
        <f t="array" ref="J86">IFERROR(
IF(B86="Campanha Renovação - Móvel",
D86*INDEX($L$3:$N$13,MATCH(B86,$K$3:$K$13,0),I86),
G86*INDEX($L$3:$N$13,MATCH(B86,$K$3:$K$13,0),I86)
),
0)</f>
        <v>10</v>
      </c>
    </row>
    <row r="87" spans="1:10" x14ac:dyDescent="0.3">
      <c r="A87" s="7" t="s">
        <v>65</v>
      </c>
      <c r="B87" s="6" t="s">
        <v>8</v>
      </c>
      <c r="C87" s="6" t="s">
        <v>7</v>
      </c>
      <c r="D87" s="6">
        <v>1</v>
      </c>
      <c r="E87" s="8">
        <v>29.99</v>
      </c>
      <c r="F87" s="6" t="s">
        <v>93</v>
      </c>
      <c r="G87" s="12">
        <f t="shared" si="3"/>
        <v>29.99</v>
      </c>
      <c r="H87">
        <f t="shared" si="4"/>
        <v>10</v>
      </c>
      <c r="I87">
        <f t="shared" si="5"/>
        <v>2</v>
      </c>
      <c r="J87" s="10" cm="1">
        <f t="array" ref="J87">IFERROR(
IF(B87="Campanha Renovação - Móvel",
D87*INDEX($L$3:$N$13,MATCH(B87,$K$3:$K$13,0),I87),
G87*INDEX($L$3:$N$13,MATCH(B87,$K$3:$K$13,0),I87)
),
0)</f>
        <v>10</v>
      </c>
    </row>
    <row r="88" spans="1:10" x14ac:dyDescent="0.3">
      <c r="A88" s="7" t="s">
        <v>65</v>
      </c>
      <c r="B88" s="6" t="s">
        <v>8</v>
      </c>
      <c r="C88" s="6" t="s">
        <v>7</v>
      </c>
      <c r="D88" s="6">
        <v>1</v>
      </c>
      <c r="E88" s="8">
        <v>29.99</v>
      </c>
      <c r="F88" s="6" t="s">
        <v>93</v>
      </c>
      <c r="G88" s="12">
        <f t="shared" si="3"/>
        <v>29.99</v>
      </c>
      <c r="H88">
        <f t="shared" si="4"/>
        <v>10</v>
      </c>
      <c r="I88">
        <f t="shared" si="5"/>
        <v>2</v>
      </c>
      <c r="J88" s="10" cm="1">
        <f t="array" ref="J88">IFERROR(
IF(B88="Campanha Renovação - Móvel",
D88*INDEX($L$3:$N$13,MATCH(B88,$K$3:$K$13,0),I88),
G88*INDEX($L$3:$N$13,MATCH(B88,$K$3:$K$13,0),I88)
),
0)</f>
        <v>10</v>
      </c>
    </row>
    <row r="89" spans="1:10" x14ac:dyDescent="0.3">
      <c r="A89" s="7" t="s">
        <v>65</v>
      </c>
      <c r="B89" s="6" t="s">
        <v>8</v>
      </c>
      <c r="C89" s="6" t="s">
        <v>7</v>
      </c>
      <c r="D89" s="6">
        <v>1</v>
      </c>
      <c r="E89" s="8">
        <v>29.99</v>
      </c>
      <c r="F89" s="6" t="s">
        <v>93</v>
      </c>
      <c r="G89" s="12">
        <f t="shared" si="3"/>
        <v>29.99</v>
      </c>
      <c r="H89">
        <f t="shared" si="4"/>
        <v>10</v>
      </c>
      <c r="I89">
        <f t="shared" si="5"/>
        <v>2</v>
      </c>
      <c r="J89" s="10" cm="1">
        <f t="array" ref="J89">IFERROR(
IF(B89="Campanha Renovação - Móvel",
D89*INDEX($L$3:$N$13,MATCH(B89,$K$3:$K$13,0),I89),
G89*INDEX($L$3:$N$13,MATCH(B89,$K$3:$K$13,0),I89)
),
0)</f>
        <v>10</v>
      </c>
    </row>
    <row r="90" spans="1:10" x14ac:dyDescent="0.3">
      <c r="A90" s="7" t="s">
        <v>65</v>
      </c>
      <c r="B90" s="6" t="s">
        <v>8</v>
      </c>
      <c r="C90" s="6" t="s">
        <v>7</v>
      </c>
      <c r="D90" s="6">
        <v>1</v>
      </c>
      <c r="E90" s="8">
        <v>29.99</v>
      </c>
      <c r="F90" s="6" t="s">
        <v>93</v>
      </c>
      <c r="G90" s="12">
        <f t="shared" si="3"/>
        <v>29.99</v>
      </c>
      <c r="H90">
        <f t="shared" si="4"/>
        <v>10</v>
      </c>
      <c r="I90">
        <f t="shared" si="5"/>
        <v>2</v>
      </c>
      <c r="J90" s="10" cm="1">
        <f t="array" ref="J90">IFERROR(
IF(B90="Campanha Renovação - Móvel",
D90*INDEX($L$3:$N$13,MATCH(B90,$K$3:$K$13,0),I90),
G90*INDEX($L$3:$N$13,MATCH(B90,$K$3:$K$13,0),I90)
),
0)</f>
        <v>10</v>
      </c>
    </row>
    <row r="91" spans="1:10" x14ac:dyDescent="0.3">
      <c r="A91" s="7" t="s">
        <v>65</v>
      </c>
      <c r="B91" s="6" t="s">
        <v>8</v>
      </c>
      <c r="C91" s="6" t="s">
        <v>7</v>
      </c>
      <c r="D91" s="6">
        <v>1</v>
      </c>
      <c r="E91" s="8">
        <v>29.99</v>
      </c>
      <c r="F91" s="6" t="s">
        <v>93</v>
      </c>
      <c r="G91" s="12">
        <f t="shared" si="3"/>
        <v>29.99</v>
      </c>
      <c r="H91">
        <f t="shared" si="4"/>
        <v>10</v>
      </c>
      <c r="I91">
        <f t="shared" si="5"/>
        <v>2</v>
      </c>
      <c r="J91" s="10" cm="1">
        <f t="array" ref="J91">IFERROR(
IF(B91="Campanha Renovação - Móvel",
D91*INDEX($L$3:$N$13,MATCH(B91,$K$3:$K$13,0),I91),
G91*INDEX($L$3:$N$13,MATCH(B91,$K$3:$K$13,0),I91)
),
0)</f>
        <v>10</v>
      </c>
    </row>
    <row r="92" spans="1:10" x14ac:dyDescent="0.3">
      <c r="A92" s="7" t="s">
        <v>65</v>
      </c>
      <c r="B92" s="6" t="s">
        <v>8</v>
      </c>
      <c r="C92" s="6" t="s">
        <v>7</v>
      </c>
      <c r="D92" s="6">
        <v>1</v>
      </c>
      <c r="E92" s="8">
        <v>29.99</v>
      </c>
      <c r="F92" s="6" t="s">
        <v>93</v>
      </c>
      <c r="G92" s="12">
        <f t="shared" si="3"/>
        <v>29.99</v>
      </c>
      <c r="H92">
        <f t="shared" si="4"/>
        <v>10</v>
      </c>
      <c r="I92">
        <f t="shared" si="5"/>
        <v>2</v>
      </c>
      <c r="J92" s="10" cm="1">
        <f t="array" ref="J92">IFERROR(
IF(B92="Campanha Renovação - Móvel",
D92*INDEX($L$3:$N$13,MATCH(B92,$K$3:$K$13,0),I92),
G92*INDEX($L$3:$N$13,MATCH(B92,$K$3:$K$13,0),I92)
),
0)</f>
        <v>10</v>
      </c>
    </row>
    <row r="93" spans="1:10" x14ac:dyDescent="0.3">
      <c r="A93" s="7" t="s">
        <v>65</v>
      </c>
      <c r="B93" s="6" t="s">
        <v>8</v>
      </c>
      <c r="C93" s="6" t="s">
        <v>7</v>
      </c>
      <c r="D93" s="6">
        <v>1</v>
      </c>
      <c r="E93" s="8">
        <v>29.99</v>
      </c>
      <c r="F93" s="6" t="s">
        <v>93</v>
      </c>
      <c r="G93" s="12">
        <f t="shared" si="3"/>
        <v>29.99</v>
      </c>
      <c r="H93">
        <f t="shared" si="4"/>
        <v>10</v>
      </c>
      <c r="I93">
        <f t="shared" si="5"/>
        <v>2</v>
      </c>
      <c r="J93" s="10" cm="1">
        <f t="array" ref="J93">IFERROR(
IF(B93="Campanha Renovação - Móvel",
D93*INDEX($L$3:$N$13,MATCH(B93,$K$3:$K$13,0),I93),
G93*INDEX($L$3:$N$13,MATCH(B93,$K$3:$K$13,0),I93)
),
0)</f>
        <v>10</v>
      </c>
    </row>
    <row r="94" spans="1:10" x14ac:dyDescent="0.3">
      <c r="A94" s="7" t="s">
        <v>65</v>
      </c>
      <c r="B94" s="6" t="s">
        <v>8</v>
      </c>
      <c r="C94" s="6" t="s">
        <v>7</v>
      </c>
      <c r="D94" s="6">
        <v>1</v>
      </c>
      <c r="E94" s="8">
        <v>29.99</v>
      </c>
      <c r="F94" s="6" t="s">
        <v>93</v>
      </c>
      <c r="G94" s="12">
        <f t="shared" si="3"/>
        <v>29.99</v>
      </c>
      <c r="H94">
        <f t="shared" si="4"/>
        <v>10</v>
      </c>
      <c r="I94">
        <f t="shared" si="5"/>
        <v>2</v>
      </c>
      <c r="J94" s="10" cm="1">
        <f t="array" ref="J94">IFERROR(
IF(B94="Campanha Renovação - Móvel",
D94*INDEX($L$3:$N$13,MATCH(B94,$K$3:$K$13,0),I94),
G94*INDEX($L$3:$N$13,MATCH(B94,$K$3:$K$13,0),I94)
),
0)</f>
        <v>10</v>
      </c>
    </row>
    <row r="95" spans="1:10" x14ac:dyDescent="0.3">
      <c r="A95" s="7" t="s">
        <v>65</v>
      </c>
      <c r="B95" s="6" t="s">
        <v>8</v>
      </c>
      <c r="C95" s="6" t="s">
        <v>7</v>
      </c>
      <c r="D95" s="6">
        <v>1</v>
      </c>
      <c r="E95" s="8">
        <v>29.99</v>
      </c>
      <c r="F95" s="6" t="s">
        <v>93</v>
      </c>
      <c r="G95" s="12">
        <f t="shared" si="3"/>
        <v>29.99</v>
      </c>
      <c r="H95">
        <f t="shared" si="4"/>
        <v>10</v>
      </c>
      <c r="I95">
        <f t="shared" si="5"/>
        <v>2</v>
      </c>
      <c r="J95" s="10" cm="1">
        <f t="array" ref="J95">IFERROR(
IF(B95="Campanha Renovação - Móvel",
D95*INDEX($L$3:$N$13,MATCH(B95,$K$3:$K$13,0),I95),
G95*INDEX($L$3:$N$13,MATCH(B95,$K$3:$K$13,0),I95)
),
0)</f>
        <v>10</v>
      </c>
    </row>
    <row r="96" spans="1:10" x14ac:dyDescent="0.3">
      <c r="A96" s="7" t="s">
        <v>65</v>
      </c>
      <c r="B96" s="6" t="s">
        <v>8</v>
      </c>
      <c r="C96" s="6" t="s">
        <v>7</v>
      </c>
      <c r="D96" s="6">
        <v>1</v>
      </c>
      <c r="E96" s="8">
        <v>29.99</v>
      </c>
      <c r="F96" s="6" t="s">
        <v>93</v>
      </c>
      <c r="G96" s="12">
        <f t="shared" si="3"/>
        <v>29.99</v>
      </c>
      <c r="H96">
        <f t="shared" si="4"/>
        <v>10</v>
      </c>
      <c r="I96">
        <f t="shared" si="5"/>
        <v>2</v>
      </c>
      <c r="J96" s="10" cm="1">
        <f t="array" ref="J96">IFERROR(
IF(B96="Campanha Renovação - Móvel",
D96*INDEX($L$3:$N$13,MATCH(B96,$K$3:$K$13,0),I96),
G96*INDEX($L$3:$N$13,MATCH(B96,$K$3:$K$13,0),I96)
),
0)</f>
        <v>10</v>
      </c>
    </row>
    <row r="97" spans="1:10" x14ac:dyDescent="0.3">
      <c r="A97" s="7" t="s">
        <v>65</v>
      </c>
      <c r="B97" s="6" t="s">
        <v>8</v>
      </c>
      <c r="C97" s="6" t="s">
        <v>7</v>
      </c>
      <c r="D97" s="6">
        <v>1</v>
      </c>
      <c r="E97" s="8">
        <v>29.99</v>
      </c>
      <c r="F97" s="6" t="s">
        <v>93</v>
      </c>
      <c r="G97" s="12">
        <f t="shared" si="3"/>
        <v>29.99</v>
      </c>
      <c r="H97">
        <f t="shared" si="4"/>
        <v>10</v>
      </c>
      <c r="I97">
        <f t="shared" si="5"/>
        <v>2</v>
      </c>
      <c r="J97" s="10" cm="1">
        <f t="array" ref="J97">IFERROR(
IF(B97="Campanha Renovação - Móvel",
D97*INDEX($L$3:$N$13,MATCH(B97,$K$3:$K$13,0),I97),
G97*INDEX($L$3:$N$13,MATCH(B97,$K$3:$K$13,0),I97)
),
0)</f>
        <v>10</v>
      </c>
    </row>
    <row r="98" spans="1:10" x14ac:dyDescent="0.3">
      <c r="A98" s="7" t="s">
        <v>65</v>
      </c>
      <c r="B98" s="6" t="s">
        <v>8</v>
      </c>
      <c r="C98" s="6" t="s">
        <v>7</v>
      </c>
      <c r="D98" s="6">
        <v>1</v>
      </c>
      <c r="E98" s="8">
        <v>29.99</v>
      </c>
      <c r="F98" s="6" t="s">
        <v>93</v>
      </c>
      <c r="G98" s="12">
        <f t="shared" si="3"/>
        <v>29.99</v>
      </c>
      <c r="H98">
        <f t="shared" si="4"/>
        <v>10</v>
      </c>
      <c r="I98">
        <f t="shared" si="5"/>
        <v>2</v>
      </c>
      <c r="J98" s="10" cm="1">
        <f t="array" ref="J98">IFERROR(
IF(B98="Campanha Renovação - Móvel",
D98*INDEX($L$3:$N$13,MATCH(B98,$K$3:$K$13,0),I98),
G98*INDEX($L$3:$N$13,MATCH(B98,$K$3:$K$13,0),I98)
),
0)</f>
        <v>10</v>
      </c>
    </row>
    <row r="99" spans="1:10" x14ac:dyDescent="0.3">
      <c r="A99" s="7" t="s">
        <v>65</v>
      </c>
      <c r="B99" s="6" t="s">
        <v>8</v>
      </c>
      <c r="C99" s="6" t="s">
        <v>7</v>
      </c>
      <c r="D99" s="6">
        <v>1</v>
      </c>
      <c r="E99" s="8">
        <v>29.99</v>
      </c>
      <c r="F99" s="6" t="s">
        <v>93</v>
      </c>
      <c r="G99" s="12">
        <f t="shared" si="3"/>
        <v>29.99</v>
      </c>
      <c r="H99">
        <f t="shared" si="4"/>
        <v>10</v>
      </c>
      <c r="I99">
        <f t="shared" si="5"/>
        <v>2</v>
      </c>
      <c r="J99" s="10" cm="1">
        <f t="array" ref="J99">IFERROR(
IF(B99="Campanha Renovação - Móvel",
D99*INDEX($L$3:$N$13,MATCH(B99,$K$3:$K$13,0),I99),
G99*INDEX($L$3:$N$13,MATCH(B99,$K$3:$K$13,0),I99)
),
0)</f>
        <v>10</v>
      </c>
    </row>
    <row r="100" spans="1:10" x14ac:dyDescent="0.3">
      <c r="A100" s="7" t="s">
        <v>65</v>
      </c>
      <c r="B100" s="6" t="s">
        <v>8</v>
      </c>
      <c r="C100" s="6" t="s">
        <v>7</v>
      </c>
      <c r="D100" s="6">
        <v>1</v>
      </c>
      <c r="E100" s="8">
        <v>29.99</v>
      </c>
      <c r="F100" s="6" t="s">
        <v>93</v>
      </c>
      <c r="G100" s="12">
        <f t="shared" si="3"/>
        <v>29.99</v>
      </c>
      <c r="H100">
        <f t="shared" si="4"/>
        <v>10</v>
      </c>
      <c r="I100">
        <f t="shared" si="5"/>
        <v>2</v>
      </c>
      <c r="J100" s="10" cm="1">
        <f t="array" ref="J100">IFERROR(
IF(B100="Campanha Renovação - Móvel",
D100*INDEX($L$3:$N$13,MATCH(B100,$K$3:$K$13,0),I100),
G100*INDEX($L$3:$N$13,MATCH(B100,$K$3:$K$13,0),I100)
),
0)</f>
        <v>10</v>
      </c>
    </row>
    <row r="101" spans="1:10" x14ac:dyDescent="0.3">
      <c r="A101" s="7" t="s">
        <v>65</v>
      </c>
      <c r="B101" s="6" t="s">
        <v>8</v>
      </c>
      <c r="C101" s="6" t="s">
        <v>7</v>
      </c>
      <c r="D101" s="6">
        <v>1</v>
      </c>
      <c r="E101" s="8">
        <v>29.99</v>
      </c>
      <c r="F101" s="6" t="s">
        <v>93</v>
      </c>
      <c r="G101" s="12">
        <f t="shared" si="3"/>
        <v>29.99</v>
      </c>
      <c r="H101">
        <f t="shared" si="4"/>
        <v>10</v>
      </c>
      <c r="I101">
        <f t="shared" si="5"/>
        <v>2</v>
      </c>
      <c r="J101" s="10" cm="1">
        <f t="array" ref="J101">IFERROR(
IF(B101="Campanha Renovação - Móvel",
D101*INDEX($L$3:$N$13,MATCH(B101,$K$3:$K$13,0),I101),
G101*INDEX($L$3:$N$13,MATCH(B101,$K$3:$K$13,0),I101)
),
0)</f>
        <v>10</v>
      </c>
    </row>
    <row r="102" spans="1:10" x14ac:dyDescent="0.3">
      <c r="A102" s="7" t="s">
        <v>65</v>
      </c>
      <c r="B102" s="6" t="s">
        <v>8</v>
      </c>
      <c r="C102" s="6" t="s">
        <v>7</v>
      </c>
      <c r="D102" s="6">
        <v>1</v>
      </c>
      <c r="E102" s="8">
        <v>29.99</v>
      </c>
      <c r="F102" s="6" t="s">
        <v>93</v>
      </c>
      <c r="G102" s="12">
        <f t="shared" si="3"/>
        <v>29.99</v>
      </c>
      <c r="H102">
        <f t="shared" si="4"/>
        <v>10</v>
      </c>
      <c r="I102">
        <f t="shared" si="5"/>
        <v>2</v>
      </c>
      <c r="J102" s="10" cm="1">
        <f t="array" ref="J102">IFERROR(
IF(B102="Campanha Renovação - Móvel",
D102*INDEX($L$3:$N$13,MATCH(B102,$K$3:$K$13,0),I102),
G102*INDEX($L$3:$N$13,MATCH(B102,$K$3:$K$13,0),I102)
),
0)</f>
        <v>10</v>
      </c>
    </row>
    <row r="103" spans="1:10" x14ac:dyDescent="0.3">
      <c r="A103" s="7" t="s">
        <v>65</v>
      </c>
      <c r="B103" s="6" t="s">
        <v>8</v>
      </c>
      <c r="C103" s="6" t="s">
        <v>7</v>
      </c>
      <c r="D103" s="6">
        <v>1</v>
      </c>
      <c r="E103" s="8">
        <v>29.99</v>
      </c>
      <c r="F103" s="6" t="s">
        <v>93</v>
      </c>
      <c r="G103" s="12">
        <f t="shared" si="3"/>
        <v>29.99</v>
      </c>
      <c r="H103">
        <f t="shared" si="4"/>
        <v>10</v>
      </c>
      <c r="I103">
        <f t="shared" si="5"/>
        <v>2</v>
      </c>
      <c r="J103" s="10" cm="1">
        <f t="array" ref="J103">IFERROR(
IF(B103="Campanha Renovação - Móvel",
D103*INDEX($L$3:$N$13,MATCH(B103,$K$3:$K$13,0),I103),
G103*INDEX($L$3:$N$13,MATCH(B103,$K$3:$K$13,0),I103)
),
0)</f>
        <v>10</v>
      </c>
    </row>
    <row r="104" spans="1:10" x14ac:dyDescent="0.3">
      <c r="A104" s="7" t="s">
        <v>65</v>
      </c>
      <c r="B104" s="6" t="s">
        <v>8</v>
      </c>
      <c r="C104" s="6" t="s">
        <v>7</v>
      </c>
      <c r="D104" s="6">
        <v>1</v>
      </c>
      <c r="E104" s="8">
        <v>29.99</v>
      </c>
      <c r="F104" s="6" t="s">
        <v>93</v>
      </c>
      <c r="G104" s="12">
        <f t="shared" si="3"/>
        <v>29.99</v>
      </c>
      <c r="H104">
        <f t="shared" si="4"/>
        <v>10</v>
      </c>
      <c r="I104">
        <f t="shared" si="5"/>
        <v>2</v>
      </c>
      <c r="J104" s="10" cm="1">
        <f t="array" ref="J104">IFERROR(
IF(B104="Campanha Renovação - Móvel",
D104*INDEX($L$3:$N$13,MATCH(B104,$K$3:$K$13,0),I104),
G104*INDEX($L$3:$N$13,MATCH(B104,$K$3:$K$13,0),I104)
),
0)</f>
        <v>10</v>
      </c>
    </row>
    <row r="105" spans="1:10" x14ac:dyDescent="0.3">
      <c r="A105" s="7" t="s">
        <v>65</v>
      </c>
      <c r="B105" s="6" t="s">
        <v>8</v>
      </c>
      <c r="C105" s="6" t="s">
        <v>7</v>
      </c>
      <c r="D105" s="6">
        <v>1</v>
      </c>
      <c r="E105" s="8">
        <v>29.99</v>
      </c>
      <c r="F105" s="6" t="s">
        <v>93</v>
      </c>
      <c r="G105" s="12">
        <f t="shared" si="3"/>
        <v>29.99</v>
      </c>
      <c r="H105">
        <f t="shared" si="4"/>
        <v>10</v>
      </c>
      <c r="I105">
        <f t="shared" si="5"/>
        <v>2</v>
      </c>
      <c r="J105" s="10" cm="1">
        <f t="array" ref="J105">IFERROR(
IF(B105="Campanha Renovação - Móvel",
D105*INDEX($L$3:$N$13,MATCH(B105,$K$3:$K$13,0),I105),
G105*INDEX($L$3:$N$13,MATCH(B105,$K$3:$K$13,0),I105)
),
0)</f>
        <v>10</v>
      </c>
    </row>
    <row r="106" spans="1:10" x14ac:dyDescent="0.3">
      <c r="A106" s="7" t="s">
        <v>65</v>
      </c>
      <c r="B106" s="6" t="s">
        <v>8</v>
      </c>
      <c r="C106" s="6" t="s">
        <v>7</v>
      </c>
      <c r="D106" s="6">
        <v>1</v>
      </c>
      <c r="E106" s="8">
        <v>29.99</v>
      </c>
      <c r="F106" s="6" t="s">
        <v>93</v>
      </c>
      <c r="G106" s="12">
        <f t="shared" si="3"/>
        <v>29.99</v>
      </c>
      <c r="H106">
        <f t="shared" si="4"/>
        <v>10</v>
      </c>
      <c r="I106">
        <f t="shared" si="5"/>
        <v>2</v>
      </c>
      <c r="J106" s="10" cm="1">
        <f t="array" ref="J106">IFERROR(
IF(B106="Campanha Renovação - Móvel",
D106*INDEX($L$3:$N$13,MATCH(B106,$K$3:$K$13,0),I106),
G106*INDEX($L$3:$N$13,MATCH(B106,$K$3:$K$13,0),I106)
),
0)</f>
        <v>10</v>
      </c>
    </row>
    <row r="107" spans="1:10" x14ac:dyDescent="0.3">
      <c r="A107" s="7" t="s">
        <v>65</v>
      </c>
      <c r="B107" s="6" t="s">
        <v>8</v>
      </c>
      <c r="C107" s="6" t="s">
        <v>7</v>
      </c>
      <c r="D107" s="6">
        <v>1</v>
      </c>
      <c r="E107" s="8">
        <v>29.99</v>
      </c>
      <c r="F107" s="6" t="s">
        <v>93</v>
      </c>
      <c r="G107" s="12">
        <f t="shared" si="3"/>
        <v>29.99</v>
      </c>
      <c r="H107">
        <f t="shared" si="4"/>
        <v>10</v>
      </c>
      <c r="I107">
        <f t="shared" si="5"/>
        <v>2</v>
      </c>
      <c r="J107" s="10" cm="1">
        <f t="array" ref="J107">IFERROR(
IF(B107="Campanha Renovação - Móvel",
D107*INDEX($L$3:$N$13,MATCH(B107,$K$3:$K$13,0),I107),
G107*INDEX($L$3:$N$13,MATCH(B107,$K$3:$K$13,0),I107)
),
0)</f>
        <v>10</v>
      </c>
    </row>
    <row r="108" spans="1:10" x14ac:dyDescent="0.3">
      <c r="A108" s="7" t="s">
        <v>65</v>
      </c>
      <c r="B108" s="6" t="s">
        <v>8</v>
      </c>
      <c r="C108" s="6" t="s">
        <v>7</v>
      </c>
      <c r="D108" s="6">
        <v>1</v>
      </c>
      <c r="E108" s="8">
        <v>29.99</v>
      </c>
      <c r="F108" s="6" t="s">
        <v>93</v>
      </c>
      <c r="G108" s="12">
        <f t="shared" si="3"/>
        <v>29.99</v>
      </c>
      <c r="H108">
        <f t="shared" si="4"/>
        <v>10</v>
      </c>
      <c r="I108">
        <f t="shared" si="5"/>
        <v>2</v>
      </c>
      <c r="J108" s="10" cm="1">
        <f t="array" ref="J108">IFERROR(
IF(B108="Campanha Renovação - Móvel",
D108*INDEX($L$3:$N$13,MATCH(B108,$K$3:$K$13,0),I108),
G108*INDEX($L$3:$N$13,MATCH(B108,$K$3:$K$13,0),I108)
),
0)</f>
        <v>10</v>
      </c>
    </row>
    <row r="109" spans="1:10" x14ac:dyDescent="0.3">
      <c r="A109" s="7" t="s">
        <v>65</v>
      </c>
      <c r="B109" s="6" t="s">
        <v>8</v>
      </c>
      <c r="C109" s="6" t="s">
        <v>7</v>
      </c>
      <c r="D109" s="6">
        <v>1</v>
      </c>
      <c r="E109" s="8">
        <v>29.99</v>
      </c>
      <c r="F109" s="6" t="s">
        <v>93</v>
      </c>
      <c r="G109" s="12">
        <f t="shared" si="3"/>
        <v>29.99</v>
      </c>
      <c r="H109">
        <f t="shared" si="4"/>
        <v>10</v>
      </c>
      <c r="I109">
        <f t="shared" si="5"/>
        <v>2</v>
      </c>
      <c r="J109" s="10" cm="1">
        <f t="array" ref="J109">IFERROR(
IF(B109="Campanha Renovação - Móvel",
D109*INDEX($L$3:$N$13,MATCH(B109,$K$3:$K$13,0),I109),
G109*INDEX($L$3:$N$13,MATCH(B109,$K$3:$K$13,0),I109)
),
0)</f>
        <v>10</v>
      </c>
    </row>
    <row r="110" spans="1:10" x14ac:dyDescent="0.3">
      <c r="A110" s="7" t="s">
        <v>65</v>
      </c>
      <c r="B110" s="6" t="s">
        <v>8</v>
      </c>
      <c r="C110" s="6" t="s">
        <v>7</v>
      </c>
      <c r="D110" s="6">
        <v>1</v>
      </c>
      <c r="E110" s="8">
        <v>29.99</v>
      </c>
      <c r="F110" s="6" t="s">
        <v>93</v>
      </c>
      <c r="G110" s="12">
        <f t="shared" si="3"/>
        <v>29.99</v>
      </c>
      <c r="H110">
        <f t="shared" si="4"/>
        <v>10</v>
      </c>
      <c r="I110">
        <f t="shared" si="5"/>
        <v>2</v>
      </c>
      <c r="J110" s="10" cm="1">
        <f t="array" ref="J110">IFERROR(
IF(B110="Campanha Renovação - Móvel",
D110*INDEX($L$3:$N$13,MATCH(B110,$K$3:$K$13,0),I110),
G110*INDEX($L$3:$N$13,MATCH(B110,$K$3:$K$13,0),I110)
),
0)</f>
        <v>10</v>
      </c>
    </row>
    <row r="111" spans="1:10" x14ac:dyDescent="0.3">
      <c r="A111" s="7" t="s">
        <v>65</v>
      </c>
      <c r="B111" s="6" t="s">
        <v>8</v>
      </c>
      <c r="C111" s="6" t="s">
        <v>7</v>
      </c>
      <c r="D111" s="6">
        <v>1</v>
      </c>
      <c r="E111" s="8">
        <v>29.99</v>
      </c>
      <c r="F111" s="6" t="s">
        <v>93</v>
      </c>
      <c r="G111" s="12">
        <f t="shared" si="3"/>
        <v>29.99</v>
      </c>
      <c r="H111">
        <f t="shared" si="4"/>
        <v>10</v>
      </c>
      <c r="I111">
        <f t="shared" si="5"/>
        <v>2</v>
      </c>
      <c r="J111" s="10" cm="1">
        <f t="array" ref="J111">IFERROR(
IF(B111="Campanha Renovação - Móvel",
D111*INDEX($L$3:$N$13,MATCH(B111,$K$3:$K$13,0),I111),
G111*INDEX($L$3:$N$13,MATCH(B111,$K$3:$K$13,0),I111)
),
0)</f>
        <v>10</v>
      </c>
    </row>
    <row r="112" spans="1:10" x14ac:dyDescent="0.3">
      <c r="A112" s="7" t="s">
        <v>65</v>
      </c>
      <c r="B112" s="6" t="s">
        <v>8</v>
      </c>
      <c r="C112" s="6" t="s">
        <v>7</v>
      </c>
      <c r="D112" s="6">
        <v>1</v>
      </c>
      <c r="E112" s="8">
        <v>29.99</v>
      </c>
      <c r="F112" s="6" t="s">
        <v>93</v>
      </c>
      <c r="G112" s="12">
        <f t="shared" si="3"/>
        <v>29.99</v>
      </c>
      <c r="H112">
        <f t="shared" si="4"/>
        <v>10</v>
      </c>
      <c r="I112">
        <f t="shared" si="5"/>
        <v>2</v>
      </c>
      <c r="J112" s="10" cm="1">
        <f t="array" ref="J112">IFERROR(
IF(B112="Campanha Renovação - Móvel",
D112*INDEX($L$3:$N$13,MATCH(B112,$K$3:$K$13,0),I112),
G112*INDEX($L$3:$N$13,MATCH(B112,$K$3:$K$13,0),I112)
),
0)</f>
        <v>10</v>
      </c>
    </row>
    <row r="113" spans="1:10" x14ac:dyDescent="0.3">
      <c r="A113" s="7" t="s">
        <v>65</v>
      </c>
      <c r="B113" s="6" t="s">
        <v>8</v>
      </c>
      <c r="C113" s="6" t="s">
        <v>7</v>
      </c>
      <c r="D113" s="6">
        <v>1</v>
      </c>
      <c r="E113" s="8">
        <v>29.99</v>
      </c>
      <c r="F113" s="6" t="s">
        <v>93</v>
      </c>
      <c r="G113" s="12">
        <f t="shared" si="3"/>
        <v>29.99</v>
      </c>
      <c r="H113">
        <f t="shared" si="4"/>
        <v>10</v>
      </c>
      <c r="I113">
        <f t="shared" si="5"/>
        <v>2</v>
      </c>
      <c r="J113" s="10" cm="1">
        <f t="array" ref="J113">IFERROR(
IF(B113="Campanha Renovação - Móvel",
D113*INDEX($L$3:$N$13,MATCH(B113,$K$3:$K$13,0),I113),
G113*INDEX($L$3:$N$13,MATCH(B113,$K$3:$K$13,0),I113)
),
0)</f>
        <v>10</v>
      </c>
    </row>
    <row r="114" spans="1:10" x14ac:dyDescent="0.3">
      <c r="A114" s="7" t="s">
        <v>65</v>
      </c>
      <c r="B114" s="6" t="s">
        <v>8</v>
      </c>
      <c r="C114" s="6" t="s">
        <v>7</v>
      </c>
      <c r="D114" s="6">
        <v>1</v>
      </c>
      <c r="E114" s="8">
        <v>29.99</v>
      </c>
      <c r="F114" s="6" t="s">
        <v>93</v>
      </c>
      <c r="G114" s="12">
        <f t="shared" si="3"/>
        <v>29.99</v>
      </c>
      <c r="H114">
        <f t="shared" si="4"/>
        <v>10</v>
      </c>
      <c r="I114">
        <f t="shared" si="5"/>
        <v>2</v>
      </c>
      <c r="J114" s="10" cm="1">
        <f t="array" ref="J114">IFERROR(
IF(B114="Campanha Renovação - Móvel",
D114*INDEX($L$3:$N$13,MATCH(B114,$K$3:$K$13,0),I114),
G114*INDEX($L$3:$N$13,MATCH(B114,$K$3:$K$13,0),I114)
),
0)</f>
        <v>10</v>
      </c>
    </row>
    <row r="115" spans="1:10" x14ac:dyDescent="0.3">
      <c r="A115" s="7" t="s">
        <v>58</v>
      </c>
      <c r="B115" s="6" t="s">
        <v>8</v>
      </c>
      <c r="C115" s="6" t="s">
        <v>7</v>
      </c>
      <c r="D115" s="6">
        <v>1</v>
      </c>
      <c r="E115" s="8">
        <v>29.99</v>
      </c>
      <c r="F115" s="6" t="s">
        <v>93</v>
      </c>
      <c r="G115" s="12">
        <f t="shared" si="3"/>
        <v>29.99</v>
      </c>
      <c r="H115">
        <f t="shared" si="4"/>
        <v>10</v>
      </c>
      <c r="I115">
        <f t="shared" si="5"/>
        <v>2</v>
      </c>
      <c r="J115" s="10" cm="1">
        <f t="array" ref="J115">IFERROR(
IF(B115="Campanha Renovação - Móvel",
D115*INDEX($L$3:$N$13,MATCH(B115,$K$3:$K$13,0),I115),
G115*INDEX($L$3:$N$13,MATCH(B115,$K$3:$K$13,0),I115)
),
0)</f>
        <v>10</v>
      </c>
    </row>
    <row r="116" spans="1:10" x14ac:dyDescent="0.3">
      <c r="A116" s="7" t="s">
        <v>58</v>
      </c>
      <c r="B116" s="6" t="s">
        <v>8</v>
      </c>
      <c r="C116" s="6" t="s">
        <v>9</v>
      </c>
      <c r="D116" s="6">
        <v>1</v>
      </c>
      <c r="E116" s="8">
        <v>99.99</v>
      </c>
      <c r="F116" s="6" t="s">
        <v>93</v>
      </c>
      <c r="G116" s="12">
        <f t="shared" si="3"/>
        <v>99.99</v>
      </c>
      <c r="H116">
        <f t="shared" si="4"/>
        <v>10</v>
      </c>
      <c r="I116">
        <f t="shared" si="5"/>
        <v>2</v>
      </c>
      <c r="J116" s="10" cm="1">
        <f t="array" ref="J116">IFERROR(
IF(B116="Campanha Renovação - Móvel",
D116*INDEX($L$3:$N$13,MATCH(B116,$K$3:$K$13,0),I116),
G116*INDEX($L$3:$N$13,MATCH(B116,$K$3:$K$13,0),I116)
),
0)</f>
        <v>10</v>
      </c>
    </row>
    <row r="117" spans="1:10" x14ac:dyDescent="0.3">
      <c r="A117" s="7" t="s">
        <v>58</v>
      </c>
      <c r="B117" s="6" t="s">
        <v>8</v>
      </c>
      <c r="C117" s="6" t="s">
        <v>7</v>
      </c>
      <c r="D117" s="6">
        <v>1</v>
      </c>
      <c r="E117" s="8">
        <v>29.99</v>
      </c>
      <c r="F117" s="6" t="s">
        <v>93</v>
      </c>
      <c r="G117" s="12">
        <f t="shared" si="3"/>
        <v>29.99</v>
      </c>
      <c r="H117">
        <f t="shared" si="4"/>
        <v>10</v>
      </c>
      <c r="I117">
        <f t="shared" si="5"/>
        <v>2</v>
      </c>
      <c r="J117" s="10" cm="1">
        <f t="array" ref="J117">IFERROR(
IF(B117="Campanha Renovação - Móvel",
D117*INDEX($L$3:$N$13,MATCH(B117,$K$3:$K$13,0),I117),
G117*INDEX($L$3:$N$13,MATCH(B117,$K$3:$K$13,0),I117)
),
0)</f>
        <v>10</v>
      </c>
    </row>
    <row r="118" spans="1:10" x14ac:dyDescent="0.3">
      <c r="A118" s="7" t="s">
        <v>58</v>
      </c>
      <c r="B118" s="6" t="s">
        <v>8</v>
      </c>
      <c r="C118" s="6" t="s">
        <v>29</v>
      </c>
      <c r="D118" s="6">
        <v>1</v>
      </c>
      <c r="E118" s="8">
        <v>94.99</v>
      </c>
      <c r="F118" s="6" t="s">
        <v>93</v>
      </c>
      <c r="G118" s="12">
        <f t="shared" si="3"/>
        <v>94.99</v>
      </c>
      <c r="H118">
        <f t="shared" si="4"/>
        <v>10</v>
      </c>
      <c r="I118">
        <f t="shared" si="5"/>
        <v>2</v>
      </c>
      <c r="J118" s="10" cm="1">
        <f t="array" ref="J118">IFERROR(
IF(B118="Campanha Renovação - Móvel",
D118*INDEX($L$3:$N$13,MATCH(B118,$K$3:$K$13,0),I118),
G118*INDEX($L$3:$N$13,MATCH(B118,$K$3:$K$13,0),I118)
),
0)</f>
        <v>10</v>
      </c>
    </row>
    <row r="119" spans="1:10" x14ac:dyDescent="0.3">
      <c r="A119" s="7" t="s">
        <v>58</v>
      </c>
      <c r="B119" s="6" t="s">
        <v>8</v>
      </c>
      <c r="C119" s="6" t="s">
        <v>7</v>
      </c>
      <c r="D119" s="6">
        <v>1</v>
      </c>
      <c r="E119" s="8">
        <v>29.99</v>
      </c>
      <c r="F119" s="6" t="s">
        <v>93</v>
      </c>
      <c r="G119" s="12">
        <f t="shared" si="3"/>
        <v>29.99</v>
      </c>
      <c r="H119">
        <f t="shared" si="4"/>
        <v>10</v>
      </c>
      <c r="I119">
        <f t="shared" si="5"/>
        <v>2</v>
      </c>
      <c r="J119" s="10" cm="1">
        <f t="array" ref="J119">IFERROR(
IF(B119="Campanha Renovação - Móvel",
D119*INDEX($L$3:$N$13,MATCH(B119,$K$3:$K$13,0),I119),
G119*INDEX($L$3:$N$13,MATCH(B119,$K$3:$K$13,0),I119)
),
0)</f>
        <v>10</v>
      </c>
    </row>
    <row r="120" spans="1:10" x14ac:dyDescent="0.3">
      <c r="A120" s="7" t="s">
        <v>60</v>
      </c>
      <c r="B120" s="6" t="s">
        <v>8</v>
      </c>
      <c r="C120" s="6" t="s">
        <v>13</v>
      </c>
      <c r="D120" s="6">
        <v>1</v>
      </c>
      <c r="E120" s="8">
        <v>44.99</v>
      </c>
      <c r="F120" s="6" t="s">
        <v>93</v>
      </c>
      <c r="G120" s="12">
        <f t="shared" si="3"/>
        <v>44.99</v>
      </c>
      <c r="H120">
        <f t="shared" si="4"/>
        <v>10</v>
      </c>
      <c r="I120">
        <f t="shared" si="5"/>
        <v>2</v>
      </c>
      <c r="J120" s="10" cm="1">
        <f t="array" ref="J120">IFERROR(
IF(B120="Campanha Renovação - Móvel",
D120*INDEX($L$3:$N$13,MATCH(B120,$K$3:$K$13,0),I120),
G120*INDEX($L$3:$N$13,MATCH(B120,$K$3:$K$13,0),I120)
),
0)</f>
        <v>10</v>
      </c>
    </row>
    <row r="121" spans="1:10" x14ac:dyDescent="0.3">
      <c r="A121" s="7" t="s">
        <v>60</v>
      </c>
      <c r="B121" s="6" t="s">
        <v>8</v>
      </c>
      <c r="C121" s="6" t="s">
        <v>7</v>
      </c>
      <c r="D121" s="6">
        <v>1</v>
      </c>
      <c r="E121" s="8">
        <v>29.99</v>
      </c>
      <c r="F121" s="6" t="s">
        <v>93</v>
      </c>
      <c r="G121" s="12">
        <f t="shared" si="3"/>
        <v>29.99</v>
      </c>
      <c r="H121">
        <f t="shared" si="4"/>
        <v>10</v>
      </c>
      <c r="I121">
        <f t="shared" si="5"/>
        <v>2</v>
      </c>
      <c r="J121" s="10" cm="1">
        <f t="array" ref="J121">IFERROR(
IF(B121="Campanha Renovação - Móvel",
D121*INDEX($L$3:$N$13,MATCH(B121,$K$3:$K$13,0),I121),
G121*INDEX($L$3:$N$13,MATCH(B121,$K$3:$K$13,0),I121)
),
0)</f>
        <v>10</v>
      </c>
    </row>
    <row r="122" spans="1:10" x14ac:dyDescent="0.3">
      <c r="A122" s="7" t="s">
        <v>66</v>
      </c>
      <c r="B122" s="6" t="s">
        <v>10</v>
      </c>
      <c r="C122" s="6" t="s">
        <v>9</v>
      </c>
      <c r="D122" s="6">
        <v>1</v>
      </c>
      <c r="E122" s="8">
        <v>99.99</v>
      </c>
      <c r="F122" s="6" t="s">
        <v>93</v>
      </c>
      <c r="G122" s="12">
        <f t="shared" si="3"/>
        <v>99.99</v>
      </c>
      <c r="H122">
        <f t="shared" si="4"/>
        <v>99.99</v>
      </c>
      <c r="I122">
        <f t="shared" si="5"/>
        <v>2</v>
      </c>
      <c r="J122" s="10" cm="1">
        <f t="array" ref="J122">IFERROR(
IF(B122="Campanha Renovação - Móvel",
D122*INDEX($L$3:$N$13,MATCH(B122,$K$3:$K$13,0),I122),
G122*INDEX($L$3:$N$13,MATCH(B122,$K$3:$K$13,0),I122)
),
0)</f>
        <v>99.99</v>
      </c>
    </row>
    <row r="123" spans="1:10" x14ac:dyDescent="0.3">
      <c r="A123" s="7" t="s">
        <v>66</v>
      </c>
      <c r="B123" s="6" t="s">
        <v>8</v>
      </c>
      <c r="C123" s="6" t="s">
        <v>7</v>
      </c>
      <c r="D123" s="6">
        <v>1</v>
      </c>
      <c r="E123" s="8">
        <v>29.99</v>
      </c>
      <c r="F123" s="6" t="s">
        <v>93</v>
      </c>
      <c r="G123" s="12">
        <f t="shared" si="3"/>
        <v>29.99</v>
      </c>
      <c r="H123">
        <f t="shared" si="4"/>
        <v>10</v>
      </c>
      <c r="I123">
        <f t="shared" si="5"/>
        <v>2</v>
      </c>
      <c r="J123" s="10" cm="1">
        <f t="array" ref="J123">IFERROR(
IF(B123="Campanha Renovação - Móvel",
D123*INDEX($L$3:$N$13,MATCH(B123,$K$3:$K$13,0),I123),
G123*INDEX($L$3:$N$13,MATCH(B123,$K$3:$K$13,0),I123)
),
0)</f>
        <v>10</v>
      </c>
    </row>
    <row r="124" spans="1:10" x14ac:dyDescent="0.3">
      <c r="A124" s="7" t="s">
        <v>66</v>
      </c>
      <c r="B124" s="6" t="s">
        <v>8</v>
      </c>
      <c r="C124" s="6" t="s">
        <v>7</v>
      </c>
      <c r="D124" s="6">
        <v>1</v>
      </c>
      <c r="E124" s="8">
        <v>29.99</v>
      </c>
      <c r="F124" s="6" t="s">
        <v>93</v>
      </c>
      <c r="G124" s="12">
        <f t="shared" si="3"/>
        <v>29.99</v>
      </c>
      <c r="H124">
        <f t="shared" si="4"/>
        <v>10</v>
      </c>
      <c r="I124">
        <f t="shared" si="5"/>
        <v>2</v>
      </c>
      <c r="J124" s="10" cm="1">
        <f t="array" ref="J124">IFERROR(
IF(B124="Campanha Renovação - Móvel",
D124*INDEX($L$3:$N$13,MATCH(B124,$K$3:$K$13,0),I124),
G124*INDEX($L$3:$N$13,MATCH(B124,$K$3:$K$13,0),I124)
),
0)</f>
        <v>10</v>
      </c>
    </row>
    <row r="125" spans="1:10" x14ac:dyDescent="0.3">
      <c r="A125" s="7" t="s">
        <v>66</v>
      </c>
      <c r="B125" s="6" t="s">
        <v>8</v>
      </c>
      <c r="C125" s="6" t="s">
        <v>30</v>
      </c>
      <c r="D125" s="6">
        <v>1</v>
      </c>
      <c r="E125" s="8">
        <v>34.99</v>
      </c>
      <c r="F125" s="6" t="s">
        <v>93</v>
      </c>
      <c r="G125" s="12">
        <f t="shared" si="3"/>
        <v>34.99</v>
      </c>
      <c r="H125">
        <f t="shared" si="4"/>
        <v>10</v>
      </c>
      <c r="I125">
        <f t="shared" si="5"/>
        <v>2</v>
      </c>
      <c r="J125" s="10" cm="1">
        <f t="array" ref="J125">IFERROR(
IF(B125="Campanha Renovação - Móvel",
D125*INDEX($L$3:$N$13,MATCH(B125,$K$3:$K$13,0),I125),
G125*INDEX($L$3:$N$13,MATCH(B125,$K$3:$K$13,0),I125)
),
0)</f>
        <v>10</v>
      </c>
    </row>
    <row r="126" spans="1:10" x14ac:dyDescent="0.3">
      <c r="A126" s="7" t="s">
        <v>66</v>
      </c>
      <c r="B126" s="6" t="s">
        <v>8</v>
      </c>
      <c r="C126" s="6" t="s">
        <v>7</v>
      </c>
      <c r="D126" s="6">
        <v>1</v>
      </c>
      <c r="E126" s="8">
        <v>29.99</v>
      </c>
      <c r="F126" s="6" t="s">
        <v>93</v>
      </c>
      <c r="G126" s="12">
        <f t="shared" si="3"/>
        <v>29.99</v>
      </c>
      <c r="H126">
        <f t="shared" si="4"/>
        <v>10</v>
      </c>
      <c r="I126">
        <f t="shared" si="5"/>
        <v>2</v>
      </c>
      <c r="J126" s="10" cm="1">
        <f t="array" ref="J126">IFERROR(
IF(B126="Campanha Renovação - Móvel",
D126*INDEX($L$3:$N$13,MATCH(B126,$K$3:$K$13,0),I126),
G126*INDEX($L$3:$N$13,MATCH(B126,$K$3:$K$13,0),I126)
),
0)</f>
        <v>10</v>
      </c>
    </row>
    <row r="127" spans="1:10" x14ac:dyDescent="0.3">
      <c r="A127" s="7" t="s">
        <v>66</v>
      </c>
      <c r="B127" s="6" t="s">
        <v>8</v>
      </c>
      <c r="C127" s="6" t="s">
        <v>7</v>
      </c>
      <c r="D127" s="6">
        <v>1</v>
      </c>
      <c r="E127" s="8">
        <v>29.99</v>
      </c>
      <c r="F127" s="6" t="s">
        <v>93</v>
      </c>
      <c r="G127" s="12">
        <f t="shared" si="3"/>
        <v>29.99</v>
      </c>
      <c r="H127">
        <f t="shared" si="4"/>
        <v>10</v>
      </c>
      <c r="I127">
        <f t="shared" si="5"/>
        <v>2</v>
      </c>
      <c r="J127" s="10" cm="1">
        <f t="array" ref="J127">IFERROR(
IF(B127="Campanha Renovação - Móvel",
D127*INDEX($L$3:$N$13,MATCH(B127,$K$3:$K$13,0),I127),
G127*INDEX($L$3:$N$13,MATCH(B127,$K$3:$K$13,0),I127)
),
0)</f>
        <v>10</v>
      </c>
    </row>
    <row r="128" spans="1:10" x14ac:dyDescent="0.3">
      <c r="A128" s="7" t="s">
        <v>67</v>
      </c>
      <c r="B128" s="6" t="s">
        <v>10</v>
      </c>
      <c r="C128" s="6" t="s">
        <v>11</v>
      </c>
      <c r="D128" s="6">
        <v>1</v>
      </c>
      <c r="E128" s="8">
        <v>39.99</v>
      </c>
      <c r="F128" s="6" t="s">
        <v>93</v>
      </c>
      <c r="G128" s="12">
        <f t="shared" si="3"/>
        <v>39.99</v>
      </c>
      <c r="H128">
        <f t="shared" si="4"/>
        <v>39.99</v>
      </c>
      <c r="I128">
        <f t="shared" si="5"/>
        <v>2</v>
      </c>
      <c r="J128" s="10" cm="1">
        <f t="array" ref="J128">IFERROR(
IF(B128="Campanha Renovação - Móvel",
D128*INDEX($L$3:$N$13,MATCH(B128,$K$3:$K$13,0),I128),
G128*INDEX($L$3:$N$13,MATCH(B128,$K$3:$K$13,0),I128)
),
0)</f>
        <v>39.99</v>
      </c>
    </row>
    <row r="129" spans="1:10" x14ac:dyDescent="0.3">
      <c r="A129" s="7" t="s">
        <v>67</v>
      </c>
      <c r="B129" s="6" t="s">
        <v>8</v>
      </c>
      <c r="C129" s="6" t="s">
        <v>7</v>
      </c>
      <c r="D129" s="6">
        <v>1</v>
      </c>
      <c r="E129" s="8">
        <v>29.99</v>
      </c>
      <c r="F129" s="6" t="s">
        <v>93</v>
      </c>
      <c r="G129" s="12">
        <f t="shared" si="3"/>
        <v>29.99</v>
      </c>
      <c r="H129">
        <f t="shared" si="4"/>
        <v>10</v>
      </c>
      <c r="I129">
        <f t="shared" si="5"/>
        <v>2</v>
      </c>
      <c r="J129" s="10" cm="1">
        <f t="array" ref="J129">IFERROR(
IF(B129="Campanha Renovação - Móvel",
D129*INDEX($L$3:$N$13,MATCH(B129,$K$3:$K$13,0),I129),
G129*INDEX($L$3:$N$13,MATCH(B129,$K$3:$K$13,0),I129)
),
0)</f>
        <v>10</v>
      </c>
    </row>
    <row r="130" spans="1:10" x14ac:dyDescent="0.3">
      <c r="A130" s="7" t="s">
        <v>67</v>
      </c>
      <c r="B130" s="6" t="s">
        <v>8</v>
      </c>
      <c r="C130" s="6" t="s">
        <v>7</v>
      </c>
      <c r="D130" s="6">
        <v>1</v>
      </c>
      <c r="E130" s="8">
        <v>29.99</v>
      </c>
      <c r="F130" s="6" t="s">
        <v>93</v>
      </c>
      <c r="G130" s="12">
        <f t="shared" si="3"/>
        <v>29.99</v>
      </c>
      <c r="H130">
        <f t="shared" si="4"/>
        <v>10</v>
      </c>
      <c r="I130">
        <f t="shared" si="5"/>
        <v>2</v>
      </c>
      <c r="J130" s="10" cm="1">
        <f t="array" ref="J130">IFERROR(
IF(B130="Campanha Renovação - Móvel",
D130*INDEX($L$3:$N$13,MATCH(B130,$K$3:$K$13,0),I130),
G130*INDEX($L$3:$N$13,MATCH(B130,$K$3:$K$13,0),I130)
),
0)</f>
        <v>10</v>
      </c>
    </row>
    <row r="131" spans="1:10" x14ac:dyDescent="0.3">
      <c r="A131" s="7" t="s">
        <v>67</v>
      </c>
      <c r="B131" s="6" t="s">
        <v>8</v>
      </c>
      <c r="C131" s="6" t="s">
        <v>7</v>
      </c>
      <c r="D131" s="6">
        <v>1</v>
      </c>
      <c r="E131" s="8">
        <v>29.99</v>
      </c>
      <c r="F131" s="6" t="s">
        <v>93</v>
      </c>
      <c r="G131" s="12">
        <f t="shared" ref="G131:G194" si="6">D131*E131</f>
        <v>29.99</v>
      </c>
      <c r="H131">
        <f t="shared" ref="H131:H194" si="7">IF(B131="Básica - Campanha Renovação",0,IF(B131="Campanha Renovação - Móvel",10*D131,IF(B131="Básica PF",G131*0.5,G131)))</f>
        <v>10</v>
      </c>
      <c r="I131">
        <f t="shared" ref="I131:I194" si="8">VLOOKUP(F131,$R$4:$T$6,3,FALSE)</f>
        <v>2</v>
      </c>
      <c r="J131" s="10" cm="1">
        <f t="array" ref="J131">IFERROR(
IF(B131="Campanha Renovação - Móvel",
D131*INDEX($L$3:$N$13,MATCH(B131,$K$3:$K$13,0),I131),
G131*INDEX($L$3:$N$13,MATCH(B131,$K$3:$K$13,0),I131)
),
0)</f>
        <v>10</v>
      </c>
    </row>
    <row r="132" spans="1:10" x14ac:dyDescent="0.3">
      <c r="A132" s="7" t="s">
        <v>67</v>
      </c>
      <c r="B132" s="6" t="s">
        <v>8</v>
      </c>
      <c r="C132" s="6" t="s">
        <v>7</v>
      </c>
      <c r="D132" s="6">
        <v>1</v>
      </c>
      <c r="E132" s="8">
        <v>29.99</v>
      </c>
      <c r="F132" s="6" t="s">
        <v>93</v>
      </c>
      <c r="G132" s="12">
        <f t="shared" si="6"/>
        <v>29.99</v>
      </c>
      <c r="H132">
        <f t="shared" si="7"/>
        <v>10</v>
      </c>
      <c r="I132">
        <f t="shared" si="8"/>
        <v>2</v>
      </c>
      <c r="J132" s="10" cm="1">
        <f t="array" ref="J132">IFERROR(
IF(B132="Campanha Renovação - Móvel",
D132*INDEX($L$3:$N$13,MATCH(B132,$K$3:$K$13,0),I132),
G132*INDEX($L$3:$N$13,MATCH(B132,$K$3:$K$13,0),I132)
),
0)</f>
        <v>10</v>
      </c>
    </row>
    <row r="133" spans="1:10" x14ac:dyDescent="0.3">
      <c r="A133" s="7" t="s">
        <v>68</v>
      </c>
      <c r="B133" s="6" t="s">
        <v>27</v>
      </c>
      <c r="C133" s="6" t="s">
        <v>26</v>
      </c>
      <c r="D133" s="6">
        <v>1</v>
      </c>
      <c r="E133" s="8">
        <v>10</v>
      </c>
      <c r="F133" s="6" t="s">
        <v>93</v>
      </c>
      <c r="G133" s="12">
        <f t="shared" si="6"/>
        <v>10</v>
      </c>
      <c r="H133">
        <f t="shared" si="7"/>
        <v>10</v>
      </c>
      <c r="I133">
        <f t="shared" si="8"/>
        <v>2</v>
      </c>
      <c r="J133" s="10" cm="1">
        <f t="array" ref="J133">IFERROR(
IF(B133="Campanha Renovação - Móvel",
D133*INDEX($L$3:$N$13,MATCH(B133,$K$3:$K$13,0),I133),
G133*INDEX($L$3:$N$13,MATCH(B133,$K$3:$K$13,0),I133)
),
0)</f>
        <v>5</v>
      </c>
    </row>
    <row r="134" spans="1:10" x14ac:dyDescent="0.3">
      <c r="A134" s="7" t="s">
        <v>68</v>
      </c>
      <c r="B134" s="6" t="s">
        <v>8</v>
      </c>
      <c r="C134" s="6" t="s">
        <v>7</v>
      </c>
      <c r="D134" s="6">
        <v>1</v>
      </c>
      <c r="E134" s="8">
        <v>29.99</v>
      </c>
      <c r="F134" s="6" t="s">
        <v>93</v>
      </c>
      <c r="G134" s="12">
        <f t="shared" si="6"/>
        <v>29.99</v>
      </c>
      <c r="H134">
        <f t="shared" si="7"/>
        <v>10</v>
      </c>
      <c r="I134">
        <f t="shared" si="8"/>
        <v>2</v>
      </c>
      <c r="J134" s="10" cm="1">
        <f t="array" ref="J134">IFERROR(
IF(B134="Campanha Renovação - Móvel",
D134*INDEX($L$3:$N$13,MATCH(B134,$K$3:$K$13,0),I134),
G134*INDEX($L$3:$N$13,MATCH(B134,$K$3:$K$13,0),I134)
),
0)</f>
        <v>10</v>
      </c>
    </row>
    <row r="135" spans="1:10" x14ac:dyDescent="0.3">
      <c r="A135" s="7" t="s">
        <v>68</v>
      </c>
      <c r="B135" s="6" t="s">
        <v>8</v>
      </c>
      <c r="C135" s="6" t="s">
        <v>7</v>
      </c>
      <c r="D135" s="6">
        <v>1</v>
      </c>
      <c r="E135" s="8">
        <v>29.99</v>
      </c>
      <c r="F135" s="6" t="s">
        <v>93</v>
      </c>
      <c r="G135" s="12">
        <f t="shared" si="6"/>
        <v>29.99</v>
      </c>
      <c r="H135">
        <f t="shared" si="7"/>
        <v>10</v>
      </c>
      <c r="I135">
        <f t="shared" si="8"/>
        <v>2</v>
      </c>
      <c r="J135" s="10" cm="1">
        <f t="array" ref="J135">IFERROR(
IF(B135="Campanha Renovação - Móvel",
D135*INDEX($L$3:$N$13,MATCH(B135,$K$3:$K$13,0),I135),
G135*INDEX($L$3:$N$13,MATCH(B135,$K$3:$K$13,0),I135)
),
0)</f>
        <v>10</v>
      </c>
    </row>
    <row r="136" spans="1:10" x14ac:dyDescent="0.3">
      <c r="A136" s="7" t="s">
        <v>68</v>
      </c>
      <c r="B136" s="6" t="s">
        <v>8</v>
      </c>
      <c r="C136" s="6" t="s">
        <v>7</v>
      </c>
      <c r="D136" s="6">
        <v>1</v>
      </c>
      <c r="E136" s="8">
        <v>29.99</v>
      </c>
      <c r="F136" s="6" t="s">
        <v>93</v>
      </c>
      <c r="G136" s="12">
        <f t="shared" si="6"/>
        <v>29.99</v>
      </c>
      <c r="H136">
        <f t="shared" si="7"/>
        <v>10</v>
      </c>
      <c r="I136">
        <f t="shared" si="8"/>
        <v>2</v>
      </c>
      <c r="J136" s="10" cm="1">
        <f t="array" ref="J136">IFERROR(
IF(B136="Campanha Renovação - Móvel",
D136*INDEX($L$3:$N$13,MATCH(B136,$K$3:$K$13,0),I136),
G136*INDEX($L$3:$N$13,MATCH(B136,$K$3:$K$13,0),I136)
),
0)</f>
        <v>10</v>
      </c>
    </row>
    <row r="137" spans="1:10" x14ac:dyDescent="0.3">
      <c r="A137" s="7" t="s">
        <v>68</v>
      </c>
      <c r="B137" s="6" t="s">
        <v>8</v>
      </c>
      <c r="C137" s="6" t="s">
        <v>31</v>
      </c>
      <c r="D137" s="6">
        <v>1</v>
      </c>
      <c r="E137" s="8">
        <v>79.989999999999995</v>
      </c>
      <c r="F137" s="6" t="s">
        <v>93</v>
      </c>
      <c r="G137" s="12">
        <f t="shared" si="6"/>
        <v>79.989999999999995</v>
      </c>
      <c r="H137">
        <f t="shared" si="7"/>
        <v>10</v>
      </c>
      <c r="I137">
        <f t="shared" si="8"/>
        <v>2</v>
      </c>
      <c r="J137" s="10" cm="1">
        <f t="array" ref="J137">IFERROR(
IF(B137="Campanha Renovação - Móvel",
D137*INDEX($L$3:$N$13,MATCH(B137,$K$3:$K$13,0),I137),
G137*INDEX($L$3:$N$13,MATCH(B137,$K$3:$K$13,0),I137)
),
0)</f>
        <v>10</v>
      </c>
    </row>
    <row r="138" spans="1:10" x14ac:dyDescent="0.3">
      <c r="A138" s="7" t="s">
        <v>68</v>
      </c>
      <c r="B138" s="6" t="s">
        <v>8</v>
      </c>
      <c r="C138" s="6" t="s">
        <v>9</v>
      </c>
      <c r="D138" s="6">
        <v>1</v>
      </c>
      <c r="E138" s="8">
        <v>99.99</v>
      </c>
      <c r="F138" s="6" t="s">
        <v>93</v>
      </c>
      <c r="G138" s="12">
        <f t="shared" si="6"/>
        <v>99.99</v>
      </c>
      <c r="H138">
        <f t="shared" si="7"/>
        <v>10</v>
      </c>
      <c r="I138">
        <f t="shared" si="8"/>
        <v>2</v>
      </c>
      <c r="J138" s="10" cm="1">
        <f t="array" ref="J138">IFERROR(
IF(B138="Campanha Renovação - Móvel",
D138*INDEX($L$3:$N$13,MATCH(B138,$K$3:$K$13,0),I138),
G138*INDEX($L$3:$N$13,MATCH(B138,$K$3:$K$13,0),I138)
),
0)</f>
        <v>10</v>
      </c>
    </row>
    <row r="139" spans="1:10" x14ac:dyDescent="0.3">
      <c r="A139" s="7" t="s">
        <v>69</v>
      </c>
      <c r="B139" s="6" t="s">
        <v>27</v>
      </c>
      <c r="C139" s="6" t="s">
        <v>26</v>
      </c>
      <c r="D139" s="6">
        <v>1</v>
      </c>
      <c r="E139" s="8">
        <v>10</v>
      </c>
      <c r="F139" s="6" t="s">
        <v>93</v>
      </c>
      <c r="G139" s="12">
        <f t="shared" si="6"/>
        <v>10</v>
      </c>
      <c r="H139">
        <f t="shared" si="7"/>
        <v>10</v>
      </c>
      <c r="I139">
        <f t="shared" si="8"/>
        <v>2</v>
      </c>
      <c r="J139" s="10" cm="1">
        <f t="array" ref="J139">IFERROR(
IF(B139="Campanha Renovação - Móvel",
D139*INDEX($L$3:$N$13,MATCH(B139,$K$3:$K$13,0),I139),
G139*INDEX($L$3:$N$13,MATCH(B139,$K$3:$K$13,0),I139)
),
0)</f>
        <v>5</v>
      </c>
    </row>
    <row r="140" spans="1:10" x14ac:dyDescent="0.3">
      <c r="A140" s="7" t="s">
        <v>69</v>
      </c>
      <c r="B140" s="6" t="s">
        <v>8</v>
      </c>
      <c r="C140" s="6" t="s">
        <v>7</v>
      </c>
      <c r="D140" s="6">
        <v>1</v>
      </c>
      <c r="E140" s="8">
        <v>29.99</v>
      </c>
      <c r="F140" s="6" t="s">
        <v>93</v>
      </c>
      <c r="G140" s="12">
        <f t="shared" si="6"/>
        <v>29.99</v>
      </c>
      <c r="H140">
        <f t="shared" si="7"/>
        <v>10</v>
      </c>
      <c r="I140">
        <f t="shared" si="8"/>
        <v>2</v>
      </c>
      <c r="J140" s="10" cm="1">
        <f t="array" ref="J140">IFERROR(
IF(B140="Campanha Renovação - Móvel",
D140*INDEX($L$3:$N$13,MATCH(B140,$K$3:$K$13,0),I140),
G140*INDEX($L$3:$N$13,MATCH(B140,$K$3:$K$13,0),I140)
),
0)</f>
        <v>10</v>
      </c>
    </row>
    <row r="141" spans="1:10" x14ac:dyDescent="0.3">
      <c r="A141" s="7" t="s">
        <v>69</v>
      </c>
      <c r="B141" s="6" t="s">
        <v>8</v>
      </c>
      <c r="C141" s="6" t="s">
        <v>7</v>
      </c>
      <c r="D141" s="6">
        <v>1</v>
      </c>
      <c r="E141" s="8">
        <v>29.99</v>
      </c>
      <c r="F141" s="6" t="s">
        <v>93</v>
      </c>
      <c r="G141" s="12">
        <f t="shared" si="6"/>
        <v>29.99</v>
      </c>
      <c r="H141">
        <f t="shared" si="7"/>
        <v>10</v>
      </c>
      <c r="I141">
        <f t="shared" si="8"/>
        <v>2</v>
      </c>
      <c r="J141" s="10" cm="1">
        <f t="array" ref="J141">IFERROR(
IF(B141="Campanha Renovação - Móvel",
D141*INDEX($L$3:$N$13,MATCH(B141,$K$3:$K$13,0),I141),
G141*INDEX($L$3:$N$13,MATCH(B141,$K$3:$K$13,0),I141)
),
0)</f>
        <v>10</v>
      </c>
    </row>
    <row r="142" spans="1:10" x14ac:dyDescent="0.3">
      <c r="A142" s="7" t="s">
        <v>69</v>
      </c>
      <c r="B142" s="6" t="s">
        <v>8</v>
      </c>
      <c r="C142" s="6" t="s">
        <v>28</v>
      </c>
      <c r="D142" s="6">
        <v>1</v>
      </c>
      <c r="E142" s="8">
        <v>69.989999999999995</v>
      </c>
      <c r="F142" s="6" t="s">
        <v>93</v>
      </c>
      <c r="G142" s="12">
        <f t="shared" si="6"/>
        <v>69.989999999999995</v>
      </c>
      <c r="H142">
        <f t="shared" si="7"/>
        <v>10</v>
      </c>
      <c r="I142">
        <f t="shared" si="8"/>
        <v>2</v>
      </c>
      <c r="J142" s="10" cm="1">
        <f t="array" ref="J142">IFERROR(
IF(B142="Campanha Renovação - Móvel",
D142*INDEX($L$3:$N$13,MATCH(B142,$K$3:$K$13,0),I142),
G142*INDEX($L$3:$N$13,MATCH(B142,$K$3:$K$13,0),I142)
),
0)</f>
        <v>10</v>
      </c>
    </row>
    <row r="143" spans="1:10" x14ac:dyDescent="0.3">
      <c r="A143" s="7" t="s">
        <v>70</v>
      </c>
      <c r="B143" s="6" t="s">
        <v>27</v>
      </c>
      <c r="C143" s="6" t="s">
        <v>26</v>
      </c>
      <c r="D143" s="6">
        <v>1</v>
      </c>
      <c r="E143" s="8">
        <v>10</v>
      </c>
      <c r="F143" s="6" t="s">
        <v>93</v>
      </c>
      <c r="G143" s="12">
        <f t="shared" si="6"/>
        <v>10</v>
      </c>
      <c r="H143">
        <f t="shared" si="7"/>
        <v>10</v>
      </c>
      <c r="I143">
        <f t="shared" si="8"/>
        <v>2</v>
      </c>
      <c r="J143" s="10" cm="1">
        <f t="array" ref="J143">IFERROR(
IF(B143="Campanha Renovação - Móvel",
D143*INDEX($L$3:$N$13,MATCH(B143,$K$3:$K$13,0),I143),
G143*INDEX($L$3:$N$13,MATCH(B143,$K$3:$K$13,0),I143)
),
0)</f>
        <v>5</v>
      </c>
    </row>
    <row r="144" spans="1:10" x14ac:dyDescent="0.3">
      <c r="A144" s="7" t="s">
        <v>70</v>
      </c>
      <c r="B144" s="6" t="s">
        <v>8</v>
      </c>
      <c r="C144" s="6" t="s">
        <v>7</v>
      </c>
      <c r="D144" s="6">
        <v>1</v>
      </c>
      <c r="E144" s="8">
        <v>29.99</v>
      </c>
      <c r="F144" s="6" t="s">
        <v>93</v>
      </c>
      <c r="G144" s="12">
        <f t="shared" si="6"/>
        <v>29.99</v>
      </c>
      <c r="H144">
        <f t="shared" si="7"/>
        <v>10</v>
      </c>
      <c r="I144">
        <f t="shared" si="8"/>
        <v>2</v>
      </c>
      <c r="J144" s="10" cm="1">
        <f t="array" ref="J144">IFERROR(
IF(B144="Campanha Renovação - Móvel",
D144*INDEX($L$3:$N$13,MATCH(B144,$K$3:$K$13,0),I144),
G144*INDEX($L$3:$N$13,MATCH(B144,$K$3:$K$13,0),I144)
),
0)</f>
        <v>10</v>
      </c>
    </row>
    <row r="145" spans="1:10" x14ac:dyDescent="0.3">
      <c r="A145" s="7" t="s">
        <v>70</v>
      </c>
      <c r="B145" s="6" t="s">
        <v>8</v>
      </c>
      <c r="C145" s="6" t="s">
        <v>7</v>
      </c>
      <c r="D145" s="6">
        <v>1</v>
      </c>
      <c r="E145" s="8">
        <v>29.99</v>
      </c>
      <c r="F145" s="6" t="s">
        <v>93</v>
      </c>
      <c r="G145" s="12">
        <f t="shared" si="6"/>
        <v>29.99</v>
      </c>
      <c r="H145">
        <f t="shared" si="7"/>
        <v>10</v>
      </c>
      <c r="I145">
        <f t="shared" si="8"/>
        <v>2</v>
      </c>
      <c r="J145" s="10" cm="1">
        <f t="array" ref="J145">IFERROR(
IF(B145="Campanha Renovação - Móvel",
D145*INDEX($L$3:$N$13,MATCH(B145,$K$3:$K$13,0),I145),
G145*INDEX($L$3:$N$13,MATCH(B145,$K$3:$K$13,0),I145)
),
0)</f>
        <v>10</v>
      </c>
    </row>
    <row r="146" spans="1:10" x14ac:dyDescent="0.3">
      <c r="A146" s="7" t="s">
        <v>70</v>
      </c>
      <c r="B146" s="6" t="s">
        <v>8</v>
      </c>
      <c r="C146" s="6" t="s">
        <v>13</v>
      </c>
      <c r="D146" s="6">
        <v>1</v>
      </c>
      <c r="E146" s="8">
        <v>44.99</v>
      </c>
      <c r="F146" s="6" t="s">
        <v>93</v>
      </c>
      <c r="G146" s="12">
        <f t="shared" si="6"/>
        <v>44.99</v>
      </c>
      <c r="H146">
        <f t="shared" si="7"/>
        <v>10</v>
      </c>
      <c r="I146">
        <f t="shared" si="8"/>
        <v>2</v>
      </c>
      <c r="J146" s="10" cm="1">
        <f t="array" ref="J146">IFERROR(
IF(B146="Campanha Renovação - Móvel",
D146*INDEX($L$3:$N$13,MATCH(B146,$K$3:$K$13,0),I146),
G146*INDEX($L$3:$N$13,MATCH(B146,$K$3:$K$13,0),I146)
),
0)</f>
        <v>10</v>
      </c>
    </row>
    <row r="147" spans="1:10" x14ac:dyDescent="0.3">
      <c r="A147" s="7" t="s">
        <v>71</v>
      </c>
      <c r="B147" s="6" t="s">
        <v>10</v>
      </c>
      <c r="C147" s="6" t="s">
        <v>11</v>
      </c>
      <c r="D147" s="6">
        <v>1</v>
      </c>
      <c r="E147" s="8">
        <v>39.99</v>
      </c>
      <c r="F147" s="6" t="s">
        <v>93</v>
      </c>
      <c r="G147" s="12">
        <f t="shared" si="6"/>
        <v>39.99</v>
      </c>
      <c r="H147">
        <f t="shared" si="7"/>
        <v>39.99</v>
      </c>
      <c r="I147">
        <f t="shared" si="8"/>
        <v>2</v>
      </c>
      <c r="J147" s="10" cm="1">
        <f t="array" ref="J147">IFERROR(
IF(B147="Campanha Renovação - Móvel",
D147*INDEX($L$3:$N$13,MATCH(B147,$K$3:$K$13,0),I147),
G147*INDEX($L$3:$N$13,MATCH(B147,$K$3:$K$13,0),I147)
),
0)</f>
        <v>39.99</v>
      </c>
    </row>
    <row r="148" spans="1:10" x14ac:dyDescent="0.3">
      <c r="A148" s="7" t="s">
        <v>71</v>
      </c>
      <c r="B148" s="6" t="s">
        <v>10</v>
      </c>
      <c r="C148" s="6" t="s">
        <v>11</v>
      </c>
      <c r="D148" s="6">
        <v>1</v>
      </c>
      <c r="E148" s="8">
        <v>39.99</v>
      </c>
      <c r="F148" s="6" t="s">
        <v>93</v>
      </c>
      <c r="G148" s="12">
        <f t="shared" si="6"/>
        <v>39.99</v>
      </c>
      <c r="H148">
        <f t="shared" si="7"/>
        <v>39.99</v>
      </c>
      <c r="I148">
        <f t="shared" si="8"/>
        <v>2</v>
      </c>
      <c r="J148" s="10" cm="1">
        <f t="array" ref="J148">IFERROR(
IF(B148="Campanha Renovação - Móvel",
D148*INDEX($L$3:$N$13,MATCH(B148,$K$3:$K$13,0),I148),
G148*INDEX($L$3:$N$13,MATCH(B148,$K$3:$K$13,0),I148)
),
0)</f>
        <v>39.99</v>
      </c>
    </row>
    <row r="149" spans="1:10" x14ac:dyDescent="0.3">
      <c r="A149" s="7" t="s">
        <v>71</v>
      </c>
      <c r="B149" s="6" t="s">
        <v>10</v>
      </c>
      <c r="C149" s="6" t="s">
        <v>11</v>
      </c>
      <c r="D149" s="6">
        <v>1</v>
      </c>
      <c r="E149" s="8">
        <v>39.99</v>
      </c>
      <c r="F149" s="6" t="s">
        <v>93</v>
      </c>
      <c r="G149" s="12">
        <f t="shared" si="6"/>
        <v>39.99</v>
      </c>
      <c r="H149">
        <f t="shared" si="7"/>
        <v>39.99</v>
      </c>
      <c r="I149">
        <f t="shared" si="8"/>
        <v>2</v>
      </c>
      <c r="J149" s="10" cm="1">
        <f t="array" ref="J149">IFERROR(
IF(B149="Campanha Renovação - Móvel",
D149*INDEX($L$3:$N$13,MATCH(B149,$K$3:$K$13,0),I149),
G149*INDEX($L$3:$N$13,MATCH(B149,$K$3:$K$13,0),I149)
),
0)</f>
        <v>39.99</v>
      </c>
    </row>
    <row r="150" spans="1:10" x14ac:dyDescent="0.3">
      <c r="A150" s="7" t="s">
        <v>71</v>
      </c>
      <c r="B150" s="6" t="s">
        <v>10</v>
      </c>
      <c r="C150" s="6" t="s">
        <v>11</v>
      </c>
      <c r="D150" s="6">
        <v>1</v>
      </c>
      <c r="E150" s="8">
        <v>39.99</v>
      </c>
      <c r="F150" s="6" t="s">
        <v>93</v>
      </c>
      <c r="G150" s="12">
        <f t="shared" si="6"/>
        <v>39.99</v>
      </c>
      <c r="H150">
        <f t="shared" si="7"/>
        <v>39.99</v>
      </c>
      <c r="I150">
        <f t="shared" si="8"/>
        <v>2</v>
      </c>
      <c r="J150" s="10" cm="1">
        <f t="array" ref="J150">IFERROR(
IF(B150="Campanha Renovação - Móvel",
D150*INDEX($L$3:$N$13,MATCH(B150,$K$3:$K$13,0),I150),
G150*INDEX($L$3:$N$13,MATCH(B150,$K$3:$K$13,0),I150)
),
0)</f>
        <v>39.99</v>
      </c>
    </row>
    <row r="151" spans="1:10" x14ac:dyDescent="0.3">
      <c r="A151" s="7" t="s">
        <v>71</v>
      </c>
      <c r="B151" s="6" t="s">
        <v>10</v>
      </c>
      <c r="C151" s="6" t="s">
        <v>11</v>
      </c>
      <c r="D151" s="6">
        <v>1</v>
      </c>
      <c r="E151" s="8">
        <v>39.99</v>
      </c>
      <c r="F151" s="6" t="s">
        <v>93</v>
      </c>
      <c r="G151" s="12">
        <f t="shared" si="6"/>
        <v>39.99</v>
      </c>
      <c r="H151">
        <f t="shared" si="7"/>
        <v>39.99</v>
      </c>
      <c r="I151">
        <f t="shared" si="8"/>
        <v>2</v>
      </c>
      <c r="J151" s="10" cm="1">
        <f t="array" ref="J151">IFERROR(
IF(B151="Campanha Renovação - Móvel",
D151*INDEX($L$3:$N$13,MATCH(B151,$K$3:$K$13,0),I151),
G151*INDEX($L$3:$N$13,MATCH(B151,$K$3:$K$13,0),I151)
),
0)</f>
        <v>39.99</v>
      </c>
    </row>
    <row r="152" spans="1:10" x14ac:dyDescent="0.3">
      <c r="A152" s="7" t="s">
        <v>71</v>
      </c>
      <c r="B152" s="6" t="s">
        <v>10</v>
      </c>
      <c r="C152" s="6" t="s">
        <v>11</v>
      </c>
      <c r="D152" s="6">
        <v>1</v>
      </c>
      <c r="E152" s="8">
        <v>39.99</v>
      </c>
      <c r="F152" s="6" t="s">
        <v>93</v>
      </c>
      <c r="G152" s="12">
        <f t="shared" si="6"/>
        <v>39.99</v>
      </c>
      <c r="H152">
        <f t="shared" si="7"/>
        <v>39.99</v>
      </c>
      <c r="I152">
        <f t="shared" si="8"/>
        <v>2</v>
      </c>
      <c r="J152" s="10" cm="1">
        <f t="array" ref="J152">IFERROR(
IF(B152="Campanha Renovação - Móvel",
D152*INDEX($L$3:$N$13,MATCH(B152,$K$3:$K$13,0),I152),
G152*INDEX($L$3:$N$13,MATCH(B152,$K$3:$K$13,0),I152)
),
0)</f>
        <v>39.99</v>
      </c>
    </row>
    <row r="153" spans="1:10" x14ac:dyDescent="0.3">
      <c r="A153" s="7" t="s">
        <v>71</v>
      </c>
      <c r="B153" s="6" t="s">
        <v>10</v>
      </c>
      <c r="C153" s="6" t="s">
        <v>11</v>
      </c>
      <c r="D153" s="6">
        <v>1</v>
      </c>
      <c r="E153" s="8">
        <v>39.99</v>
      </c>
      <c r="F153" s="6" t="s">
        <v>93</v>
      </c>
      <c r="G153" s="12">
        <f t="shared" si="6"/>
        <v>39.99</v>
      </c>
      <c r="H153">
        <f t="shared" si="7"/>
        <v>39.99</v>
      </c>
      <c r="I153">
        <f t="shared" si="8"/>
        <v>2</v>
      </c>
      <c r="J153" s="10" cm="1">
        <f t="array" ref="J153">IFERROR(
IF(B153="Campanha Renovação - Móvel",
D153*INDEX($L$3:$N$13,MATCH(B153,$K$3:$K$13,0),I153),
G153*INDEX($L$3:$N$13,MATCH(B153,$K$3:$K$13,0),I153)
),
0)</f>
        <v>39.99</v>
      </c>
    </row>
    <row r="154" spans="1:10" x14ac:dyDescent="0.3">
      <c r="A154" s="7" t="s">
        <v>72</v>
      </c>
      <c r="B154" s="6" t="s">
        <v>27</v>
      </c>
      <c r="C154" s="6" t="s">
        <v>26</v>
      </c>
      <c r="D154" s="6">
        <v>1</v>
      </c>
      <c r="E154" s="8">
        <v>10</v>
      </c>
      <c r="F154" s="6" t="s">
        <v>93</v>
      </c>
      <c r="G154" s="12">
        <f t="shared" si="6"/>
        <v>10</v>
      </c>
      <c r="H154">
        <f t="shared" si="7"/>
        <v>10</v>
      </c>
      <c r="I154">
        <f t="shared" si="8"/>
        <v>2</v>
      </c>
      <c r="J154" s="10" cm="1">
        <f t="array" ref="J154">IFERROR(
IF(B154="Campanha Renovação - Móvel",
D154*INDEX($L$3:$N$13,MATCH(B154,$K$3:$K$13,0),I154),
G154*INDEX($L$3:$N$13,MATCH(B154,$K$3:$K$13,0),I154)
),
0)</f>
        <v>5</v>
      </c>
    </row>
    <row r="155" spans="1:10" x14ac:dyDescent="0.3">
      <c r="A155" s="7" t="s">
        <v>72</v>
      </c>
      <c r="B155" s="6" t="s">
        <v>8</v>
      </c>
      <c r="C155" s="6" t="s">
        <v>7</v>
      </c>
      <c r="D155" s="6">
        <v>1</v>
      </c>
      <c r="E155" s="8">
        <v>29.99</v>
      </c>
      <c r="F155" s="6" t="s">
        <v>93</v>
      </c>
      <c r="G155" s="12">
        <f t="shared" si="6"/>
        <v>29.99</v>
      </c>
      <c r="H155">
        <f t="shared" si="7"/>
        <v>10</v>
      </c>
      <c r="I155">
        <f t="shared" si="8"/>
        <v>2</v>
      </c>
      <c r="J155" s="10" cm="1">
        <f t="array" ref="J155">IFERROR(
IF(B155="Campanha Renovação - Móvel",
D155*INDEX($L$3:$N$13,MATCH(B155,$K$3:$K$13,0),I155),
G155*INDEX($L$3:$N$13,MATCH(B155,$K$3:$K$13,0),I155)
),
0)</f>
        <v>10</v>
      </c>
    </row>
    <row r="156" spans="1:10" x14ac:dyDescent="0.3">
      <c r="A156" s="7" t="s">
        <v>72</v>
      </c>
      <c r="B156" s="6" t="s">
        <v>8</v>
      </c>
      <c r="C156" s="6" t="s">
        <v>7</v>
      </c>
      <c r="D156" s="6">
        <v>1</v>
      </c>
      <c r="E156" s="8">
        <v>29.99</v>
      </c>
      <c r="F156" s="6" t="s">
        <v>93</v>
      </c>
      <c r="G156" s="12">
        <f t="shared" si="6"/>
        <v>29.99</v>
      </c>
      <c r="H156">
        <f t="shared" si="7"/>
        <v>10</v>
      </c>
      <c r="I156">
        <f t="shared" si="8"/>
        <v>2</v>
      </c>
      <c r="J156" s="10" cm="1">
        <f t="array" ref="J156">IFERROR(
IF(B156="Campanha Renovação - Móvel",
D156*INDEX($L$3:$N$13,MATCH(B156,$K$3:$K$13,0),I156),
G156*INDEX($L$3:$N$13,MATCH(B156,$K$3:$K$13,0),I156)
),
0)</f>
        <v>10</v>
      </c>
    </row>
    <row r="157" spans="1:10" x14ac:dyDescent="0.3">
      <c r="A157" s="7" t="s">
        <v>72</v>
      </c>
      <c r="B157" s="6" t="s">
        <v>8</v>
      </c>
      <c r="C157" s="6" t="s">
        <v>7</v>
      </c>
      <c r="D157" s="6">
        <v>1</v>
      </c>
      <c r="E157" s="8">
        <v>29.99</v>
      </c>
      <c r="F157" s="6" t="s">
        <v>93</v>
      </c>
      <c r="G157" s="12">
        <f t="shared" si="6"/>
        <v>29.99</v>
      </c>
      <c r="H157">
        <f t="shared" si="7"/>
        <v>10</v>
      </c>
      <c r="I157">
        <f t="shared" si="8"/>
        <v>2</v>
      </c>
      <c r="J157" s="10" cm="1">
        <f t="array" ref="J157">IFERROR(
IF(B157="Campanha Renovação - Móvel",
D157*INDEX($L$3:$N$13,MATCH(B157,$K$3:$K$13,0),I157),
G157*INDEX($L$3:$N$13,MATCH(B157,$K$3:$K$13,0),I157)
),
0)</f>
        <v>10</v>
      </c>
    </row>
    <row r="158" spans="1:10" x14ac:dyDescent="0.3">
      <c r="A158" s="7" t="s">
        <v>72</v>
      </c>
      <c r="B158" s="6" t="s">
        <v>8</v>
      </c>
      <c r="C158" s="6" t="s">
        <v>12</v>
      </c>
      <c r="D158" s="6">
        <v>1</v>
      </c>
      <c r="E158" s="8">
        <v>49.99</v>
      </c>
      <c r="F158" s="6" t="s">
        <v>93</v>
      </c>
      <c r="G158" s="12">
        <f t="shared" si="6"/>
        <v>49.99</v>
      </c>
      <c r="H158">
        <f t="shared" si="7"/>
        <v>10</v>
      </c>
      <c r="I158">
        <f t="shared" si="8"/>
        <v>2</v>
      </c>
      <c r="J158" s="10" cm="1">
        <f t="array" ref="J158">IFERROR(
IF(B158="Campanha Renovação - Móvel",
D158*INDEX($L$3:$N$13,MATCH(B158,$K$3:$K$13,0),I158),
G158*INDEX($L$3:$N$13,MATCH(B158,$K$3:$K$13,0),I158)
),
0)</f>
        <v>10</v>
      </c>
    </row>
    <row r="159" spans="1:10" x14ac:dyDescent="0.3">
      <c r="A159" s="7" t="s">
        <v>72</v>
      </c>
      <c r="B159" s="6" t="s">
        <v>8</v>
      </c>
      <c r="C159" s="6" t="s">
        <v>7</v>
      </c>
      <c r="D159" s="6">
        <v>1</v>
      </c>
      <c r="E159" s="8">
        <v>29.99</v>
      </c>
      <c r="F159" s="6" t="s">
        <v>93</v>
      </c>
      <c r="G159" s="12">
        <f t="shared" si="6"/>
        <v>29.99</v>
      </c>
      <c r="H159">
        <f t="shared" si="7"/>
        <v>10</v>
      </c>
      <c r="I159">
        <f t="shared" si="8"/>
        <v>2</v>
      </c>
      <c r="J159" s="10" cm="1">
        <f t="array" ref="J159">IFERROR(
IF(B159="Campanha Renovação - Móvel",
D159*INDEX($L$3:$N$13,MATCH(B159,$K$3:$K$13,0),I159),
G159*INDEX($L$3:$N$13,MATCH(B159,$K$3:$K$13,0),I159)
),
0)</f>
        <v>10</v>
      </c>
    </row>
    <row r="160" spans="1:10" x14ac:dyDescent="0.3">
      <c r="A160" s="7" t="s">
        <v>73</v>
      </c>
      <c r="B160" s="6" t="s">
        <v>27</v>
      </c>
      <c r="C160" s="6" t="s">
        <v>26</v>
      </c>
      <c r="D160" s="6">
        <v>1</v>
      </c>
      <c r="E160" s="8">
        <v>10</v>
      </c>
      <c r="F160" s="6" t="s">
        <v>93</v>
      </c>
      <c r="G160" s="12">
        <f t="shared" si="6"/>
        <v>10</v>
      </c>
      <c r="H160">
        <f t="shared" si="7"/>
        <v>10</v>
      </c>
      <c r="I160">
        <f t="shared" si="8"/>
        <v>2</v>
      </c>
      <c r="J160" s="10" cm="1">
        <f t="array" ref="J160">IFERROR(
IF(B160="Campanha Renovação - Móvel",
D160*INDEX($L$3:$N$13,MATCH(B160,$K$3:$K$13,0),I160),
G160*INDEX($L$3:$N$13,MATCH(B160,$K$3:$K$13,0),I160)
),
0)</f>
        <v>5</v>
      </c>
    </row>
    <row r="161" spans="1:10" x14ac:dyDescent="0.3">
      <c r="A161" s="7" t="s">
        <v>73</v>
      </c>
      <c r="B161" s="6" t="s">
        <v>8</v>
      </c>
      <c r="C161" s="6" t="s">
        <v>7</v>
      </c>
      <c r="D161" s="6">
        <v>1</v>
      </c>
      <c r="E161" s="8">
        <v>29.99</v>
      </c>
      <c r="F161" s="6" t="s">
        <v>93</v>
      </c>
      <c r="G161" s="12">
        <f t="shared" si="6"/>
        <v>29.99</v>
      </c>
      <c r="H161">
        <f t="shared" si="7"/>
        <v>10</v>
      </c>
      <c r="I161">
        <f t="shared" si="8"/>
        <v>2</v>
      </c>
      <c r="J161" s="10" cm="1">
        <f t="array" ref="J161">IFERROR(
IF(B161="Campanha Renovação - Móvel",
D161*INDEX($L$3:$N$13,MATCH(B161,$K$3:$K$13,0),I161),
G161*INDEX($L$3:$N$13,MATCH(B161,$K$3:$K$13,0),I161)
),
0)</f>
        <v>10</v>
      </c>
    </row>
    <row r="162" spans="1:10" x14ac:dyDescent="0.3">
      <c r="A162" s="7" t="s">
        <v>73</v>
      </c>
      <c r="B162" s="6" t="s">
        <v>8</v>
      </c>
      <c r="C162" s="6" t="s">
        <v>7</v>
      </c>
      <c r="D162" s="6">
        <v>1</v>
      </c>
      <c r="E162" s="8">
        <v>29.99</v>
      </c>
      <c r="F162" s="6" t="s">
        <v>93</v>
      </c>
      <c r="G162" s="12">
        <f t="shared" si="6"/>
        <v>29.99</v>
      </c>
      <c r="H162">
        <f t="shared" si="7"/>
        <v>10</v>
      </c>
      <c r="I162">
        <f t="shared" si="8"/>
        <v>2</v>
      </c>
      <c r="J162" s="10" cm="1">
        <f t="array" ref="J162">IFERROR(
IF(B162="Campanha Renovação - Móvel",
D162*INDEX($L$3:$N$13,MATCH(B162,$K$3:$K$13,0),I162),
G162*INDEX($L$3:$N$13,MATCH(B162,$K$3:$K$13,0),I162)
),
0)</f>
        <v>10</v>
      </c>
    </row>
    <row r="163" spans="1:10" x14ac:dyDescent="0.3">
      <c r="A163" s="7" t="s">
        <v>73</v>
      </c>
      <c r="B163" s="6" t="s">
        <v>8</v>
      </c>
      <c r="C163" s="6" t="s">
        <v>9</v>
      </c>
      <c r="D163" s="6">
        <v>1</v>
      </c>
      <c r="E163" s="8">
        <v>99.99</v>
      </c>
      <c r="F163" s="6" t="s">
        <v>93</v>
      </c>
      <c r="G163" s="12">
        <f t="shared" si="6"/>
        <v>99.99</v>
      </c>
      <c r="H163">
        <f t="shared" si="7"/>
        <v>10</v>
      </c>
      <c r="I163">
        <f t="shared" si="8"/>
        <v>2</v>
      </c>
      <c r="J163" s="10" cm="1">
        <f t="array" ref="J163">IFERROR(
IF(B163="Campanha Renovação - Móvel",
D163*INDEX($L$3:$N$13,MATCH(B163,$K$3:$K$13,0),I163),
G163*INDEX($L$3:$N$13,MATCH(B163,$K$3:$K$13,0),I163)
),
0)</f>
        <v>10</v>
      </c>
    </row>
    <row r="164" spans="1:10" x14ac:dyDescent="0.3">
      <c r="A164" s="7" t="s">
        <v>74</v>
      </c>
      <c r="B164" s="6" t="s">
        <v>10</v>
      </c>
      <c r="C164" s="6" t="s">
        <v>9</v>
      </c>
      <c r="D164" s="6">
        <v>1</v>
      </c>
      <c r="E164" s="8">
        <v>99.99</v>
      </c>
      <c r="F164" s="6" t="s">
        <v>93</v>
      </c>
      <c r="G164" s="12">
        <f t="shared" si="6"/>
        <v>99.99</v>
      </c>
      <c r="H164">
        <f t="shared" si="7"/>
        <v>99.99</v>
      </c>
      <c r="I164">
        <f t="shared" si="8"/>
        <v>2</v>
      </c>
      <c r="J164" s="10" cm="1">
        <f t="array" ref="J164">IFERROR(
IF(B164="Campanha Renovação - Móvel",
D164*INDEX($L$3:$N$13,MATCH(B164,$K$3:$K$13,0),I164),
G164*INDEX($L$3:$N$13,MATCH(B164,$K$3:$K$13,0),I164)
),
0)</f>
        <v>99.99</v>
      </c>
    </row>
    <row r="165" spans="1:10" x14ac:dyDescent="0.3">
      <c r="A165" s="7" t="s">
        <v>74</v>
      </c>
      <c r="B165" s="6" t="s">
        <v>10</v>
      </c>
      <c r="C165" s="6" t="s">
        <v>9</v>
      </c>
      <c r="D165" s="6">
        <v>1</v>
      </c>
      <c r="E165" s="8">
        <v>99.99</v>
      </c>
      <c r="F165" s="6" t="s">
        <v>93</v>
      </c>
      <c r="G165" s="12">
        <f t="shared" si="6"/>
        <v>99.99</v>
      </c>
      <c r="H165">
        <f t="shared" si="7"/>
        <v>99.99</v>
      </c>
      <c r="I165">
        <f t="shared" si="8"/>
        <v>2</v>
      </c>
      <c r="J165" s="10" cm="1">
        <f t="array" ref="J165">IFERROR(
IF(B165="Campanha Renovação - Móvel",
D165*INDEX($L$3:$N$13,MATCH(B165,$K$3:$K$13,0),I165),
G165*INDEX($L$3:$N$13,MATCH(B165,$K$3:$K$13,0),I165)
),
0)</f>
        <v>99.99</v>
      </c>
    </row>
    <row r="166" spans="1:10" x14ac:dyDescent="0.3">
      <c r="A166" s="7" t="s">
        <v>74</v>
      </c>
      <c r="B166" s="6" t="s">
        <v>10</v>
      </c>
      <c r="C166" s="6" t="s">
        <v>9</v>
      </c>
      <c r="D166" s="6">
        <v>1</v>
      </c>
      <c r="E166" s="8">
        <v>99.99</v>
      </c>
      <c r="F166" s="6" t="s">
        <v>93</v>
      </c>
      <c r="G166" s="12">
        <f t="shared" si="6"/>
        <v>99.99</v>
      </c>
      <c r="H166">
        <f t="shared" si="7"/>
        <v>99.99</v>
      </c>
      <c r="I166">
        <f t="shared" si="8"/>
        <v>2</v>
      </c>
      <c r="J166" s="10" cm="1">
        <f t="array" ref="J166">IFERROR(
IF(B166="Campanha Renovação - Móvel",
D166*INDEX($L$3:$N$13,MATCH(B166,$K$3:$K$13,0),I166),
G166*INDEX($L$3:$N$13,MATCH(B166,$K$3:$K$13,0),I166)
),
0)</f>
        <v>99.99</v>
      </c>
    </row>
    <row r="167" spans="1:10" x14ac:dyDescent="0.3">
      <c r="A167" s="7" t="s">
        <v>74</v>
      </c>
      <c r="B167" s="6" t="s">
        <v>10</v>
      </c>
      <c r="C167" s="6" t="s">
        <v>9</v>
      </c>
      <c r="D167" s="6">
        <v>1</v>
      </c>
      <c r="E167" s="8">
        <v>99.99</v>
      </c>
      <c r="F167" s="6" t="s">
        <v>93</v>
      </c>
      <c r="G167" s="12">
        <f t="shared" si="6"/>
        <v>99.99</v>
      </c>
      <c r="H167">
        <f t="shared" si="7"/>
        <v>99.99</v>
      </c>
      <c r="I167">
        <f t="shared" si="8"/>
        <v>2</v>
      </c>
      <c r="J167" s="10" cm="1">
        <f t="array" ref="J167">IFERROR(
IF(B167="Campanha Renovação - Móvel",
D167*INDEX($L$3:$N$13,MATCH(B167,$K$3:$K$13,0),I167),
G167*INDEX($L$3:$N$13,MATCH(B167,$K$3:$K$13,0),I167)
),
0)</f>
        <v>99.99</v>
      </c>
    </row>
    <row r="168" spans="1:10" x14ac:dyDescent="0.3">
      <c r="A168" s="7" t="s">
        <v>74</v>
      </c>
      <c r="B168" s="6" t="s">
        <v>10</v>
      </c>
      <c r="C168" s="6" t="s">
        <v>9</v>
      </c>
      <c r="D168" s="6">
        <v>1</v>
      </c>
      <c r="E168" s="8">
        <v>99.99</v>
      </c>
      <c r="F168" s="6" t="s">
        <v>93</v>
      </c>
      <c r="G168" s="12">
        <f t="shared" si="6"/>
        <v>99.99</v>
      </c>
      <c r="H168">
        <f t="shared" si="7"/>
        <v>99.99</v>
      </c>
      <c r="I168">
        <f t="shared" si="8"/>
        <v>2</v>
      </c>
      <c r="J168" s="10" cm="1">
        <f t="array" ref="J168">IFERROR(
IF(B168="Campanha Renovação - Móvel",
D168*INDEX($L$3:$N$13,MATCH(B168,$K$3:$K$13,0),I168),
G168*INDEX($L$3:$N$13,MATCH(B168,$K$3:$K$13,0),I168)
),
0)</f>
        <v>99.99</v>
      </c>
    </row>
    <row r="169" spans="1:10" x14ac:dyDescent="0.3">
      <c r="A169" s="7" t="s">
        <v>75</v>
      </c>
      <c r="B169" s="6" t="s">
        <v>10</v>
      </c>
      <c r="C169" s="6" t="s">
        <v>28</v>
      </c>
      <c r="D169" s="6">
        <v>1</v>
      </c>
      <c r="E169" s="8">
        <v>69.989999999999995</v>
      </c>
      <c r="F169" s="6" t="s">
        <v>93</v>
      </c>
      <c r="G169" s="12">
        <f t="shared" si="6"/>
        <v>69.989999999999995</v>
      </c>
      <c r="H169">
        <f t="shared" si="7"/>
        <v>69.989999999999995</v>
      </c>
      <c r="I169">
        <f t="shared" si="8"/>
        <v>2</v>
      </c>
      <c r="J169" s="10" cm="1">
        <f t="array" ref="J169">IFERROR(
IF(B169="Campanha Renovação - Móvel",
D169*INDEX($L$3:$N$13,MATCH(B169,$K$3:$K$13,0),I169),
G169*INDEX($L$3:$N$13,MATCH(B169,$K$3:$K$13,0),I169)
),
0)</f>
        <v>69.989999999999995</v>
      </c>
    </row>
    <row r="170" spans="1:10" x14ac:dyDescent="0.3">
      <c r="A170" s="7" t="s">
        <v>75</v>
      </c>
      <c r="B170" s="6" t="s">
        <v>8</v>
      </c>
      <c r="C170" s="6" t="s">
        <v>7</v>
      </c>
      <c r="D170" s="6">
        <v>1</v>
      </c>
      <c r="E170" s="8">
        <v>29.99</v>
      </c>
      <c r="F170" s="6" t="s">
        <v>93</v>
      </c>
      <c r="G170" s="12">
        <f t="shared" si="6"/>
        <v>29.99</v>
      </c>
      <c r="H170">
        <f t="shared" si="7"/>
        <v>10</v>
      </c>
      <c r="I170">
        <f t="shared" si="8"/>
        <v>2</v>
      </c>
      <c r="J170" s="10" cm="1">
        <f t="array" ref="J170">IFERROR(
IF(B170="Campanha Renovação - Móvel",
D170*INDEX($L$3:$N$13,MATCH(B170,$K$3:$K$13,0),I170),
G170*INDEX($L$3:$N$13,MATCH(B170,$K$3:$K$13,0),I170)
),
0)</f>
        <v>10</v>
      </c>
    </row>
    <row r="171" spans="1:10" x14ac:dyDescent="0.3">
      <c r="A171" s="7" t="s">
        <v>75</v>
      </c>
      <c r="B171" s="6" t="s">
        <v>8</v>
      </c>
      <c r="C171" s="6" t="s">
        <v>7</v>
      </c>
      <c r="D171" s="6">
        <v>1</v>
      </c>
      <c r="E171" s="8">
        <v>29.99</v>
      </c>
      <c r="F171" s="6" t="s">
        <v>93</v>
      </c>
      <c r="G171" s="12">
        <f t="shared" si="6"/>
        <v>29.99</v>
      </c>
      <c r="H171">
        <f t="shared" si="7"/>
        <v>10</v>
      </c>
      <c r="I171">
        <f t="shared" si="8"/>
        <v>2</v>
      </c>
      <c r="J171" s="10" cm="1">
        <f t="array" ref="J171">IFERROR(
IF(B171="Campanha Renovação - Móvel",
D171*INDEX($L$3:$N$13,MATCH(B171,$K$3:$K$13,0),I171),
G171*INDEX($L$3:$N$13,MATCH(B171,$K$3:$K$13,0),I171)
),
0)</f>
        <v>10</v>
      </c>
    </row>
    <row r="172" spans="1:10" x14ac:dyDescent="0.3">
      <c r="A172" s="7" t="s">
        <v>75</v>
      </c>
      <c r="B172" s="6" t="s">
        <v>8</v>
      </c>
      <c r="C172" s="6" t="s">
        <v>7</v>
      </c>
      <c r="D172" s="6">
        <v>1</v>
      </c>
      <c r="E172" s="8">
        <v>29.99</v>
      </c>
      <c r="F172" s="6" t="s">
        <v>93</v>
      </c>
      <c r="G172" s="12">
        <f t="shared" si="6"/>
        <v>29.99</v>
      </c>
      <c r="H172">
        <f t="shared" si="7"/>
        <v>10</v>
      </c>
      <c r="I172">
        <f t="shared" si="8"/>
        <v>2</v>
      </c>
      <c r="J172" s="10" cm="1">
        <f t="array" ref="J172">IFERROR(
IF(B172="Campanha Renovação - Móvel",
D172*INDEX($L$3:$N$13,MATCH(B172,$K$3:$K$13,0),I172),
G172*INDEX($L$3:$N$13,MATCH(B172,$K$3:$K$13,0),I172)
),
0)</f>
        <v>10</v>
      </c>
    </row>
    <row r="173" spans="1:10" x14ac:dyDescent="0.3">
      <c r="A173" s="7" t="s">
        <v>76</v>
      </c>
      <c r="B173" s="6" t="s">
        <v>5</v>
      </c>
      <c r="C173" s="6" t="s">
        <v>32</v>
      </c>
      <c r="D173" s="6">
        <v>1</v>
      </c>
      <c r="E173" s="8">
        <v>72.989999999999995</v>
      </c>
      <c r="F173" s="6" t="s">
        <v>93</v>
      </c>
      <c r="G173" s="12">
        <f t="shared" si="6"/>
        <v>72.989999999999995</v>
      </c>
      <c r="H173">
        <f t="shared" si="7"/>
        <v>72.989999999999995</v>
      </c>
      <c r="I173">
        <f t="shared" si="8"/>
        <v>2</v>
      </c>
      <c r="J173" s="10" cm="1">
        <f t="array" ref="J173">IFERROR(
IF(B173="Campanha Renovação - Móvel",
D173*INDEX($L$3:$N$13,MATCH(B173,$K$3:$K$13,0),I173),
G173*INDEX($L$3:$N$13,MATCH(B173,$K$3:$K$13,0),I173)
),
0)</f>
        <v>72.989999999999995</v>
      </c>
    </row>
    <row r="174" spans="1:10" x14ac:dyDescent="0.3">
      <c r="A174" s="7" t="s">
        <v>76</v>
      </c>
      <c r="B174" s="6" t="s">
        <v>5</v>
      </c>
      <c r="C174" s="6" t="s">
        <v>33</v>
      </c>
      <c r="D174" s="6">
        <v>1</v>
      </c>
      <c r="E174" s="8">
        <v>21</v>
      </c>
      <c r="F174" s="6" t="s">
        <v>93</v>
      </c>
      <c r="G174" s="12">
        <f t="shared" si="6"/>
        <v>21</v>
      </c>
      <c r="H174">
        <f t="shared" si="7"/>
        <v>21</v>
      </c>
      <c r="I174">
        <f t="shared" si="8"/>
        <v>2</v>
      </c>
      <c r="J174" s="10" cm="1">
        <f t="array" ref="J174">IFERROR(
IF(B174="Campanha Renovação - Móvel",
D174*INDEX($L$3:$N$13,MATCH(B174,$K$3:$K$13,0),I174),
G174*INDEX($L$3:$N$13,MATCH(B174,$K$3:$K$13,0),I174)
),
0)</f>
        <v>21</v>
      </c>
    </row>
    <row r="175" spans="1:10" x14ac:dyDescent="0.3">
      <c r="A175" s="7" t="s">
        <v>76</v>
      </c>
      <c r="B175" s="6" t="s">
        <v>5</v>
      </c>
      <c r="C175" s="6" t="s">
        <v>33</v>
      </c>
      <c r="D175" s="6">
        <v>1</v>
      </c>
      <c r="E175" s="8">
        <v>30</v>
      </c>
      <c r="F175" s="6" t="s">
        <v>93</v>
      </c>
      <c r="G175" s="12">
        <f t="shared" si="6"/>
        <v>30</v>
      </c>
      <c r="H175">
        <f t="shared" si="7"/>
        <v>30</v>
      </c>
      <c r="I175">
        <f t="shared" si="8"/>
        <v>2</v>
      </c>
      <c r="J175" s="10" cm="1">
        <f t="array" ref="J175">IFERROR(
IF(B175="Campanha Renovação - Móvel",
D175*INDEX($L$3:$N$13,MATCH(B175,$K$3:$K$13,0),I175),
G175*INDEX($L$3:$N$13,MATCH(B175,$K$3:$K$13,0),I175)
),
0)</f>
        <v>30</v>
      </c>
    </row>
    <row r="176" spans="1:10" x14ac:dyDescent="0.3">
      <c r="A176" s="7" t="s">
        <v>76</v>
      </c>
      <c r="B176" s="6" t="s">
        <v>5</v>
      </c>
      <c r="C176" s="6" t="s">
        <v>6</v>
      </c>
      <c r="D176" s="6">
        <v>1</v>
      </c>
      <c r="E176" s="8">
        <v>26</v>
      </c>
      <c r="F176" s="6" t="s">
        <v>93</v>
      </c>
      <c r="G176" s="12">
        <f t="shared" si="6"/>
        <v>26</v>
      </c>
      <c r="H176">
        <f t="shared" si="7"/>
        <v>26</v>
      </c>
      <c r="I176">
        <f t="shared" si="8"/>
        <v>2</v>
      </c>
      <c r="J176" s="10" cm="1">
        <f t="array" ref="J176">IFERROR(
IF(B176="Campanha Renovação - Móvel",
D176*INDEX($L$3:$N$13,MATCH(B176,$K$3:$K$13,0),I176),
G176*INDEX($L$3:$N$13,MATCH(B176,$K$3:$K$13,0),I176)
),
0)</f>
        <v>26</v>
      </c>
    </row>
    <row r="177" spans="1:10" x14ac:dyDescent="0.3">
      <c r="A177" s="7" t="s">
        <v>77</v>
      </c>
      <c r="B177" s="6" t="s">
        <v>5</v>
      </c>
      <c r="C177" s="6" t="s">
        <v>3</v>
      </c>
      <c r="D177" s="6">
        <v>1</v>
      </c>
      <c r="E177" s="8">
        <v>73.989999999999995</v>
      </c>
      <c r="F177" s="6" t="s">
        <v>94</v>
      </c>
      <c r="G177" s="12">
        <f t="shared" si="6"/>
        <v>73.989999999999995</v>
      </c>
      <c r="H177">
        <f t="shared" si="7"/>
        <v>73.989999999999995</v>
      </c>
      <c r="I177">
        <f t="shared" si="8"/>
        <v>3</v>
      </c>
      <c r="J177" s="10" cm="1">
        <f t="array" ref="J177">IFERROR(
IF(B177="Campanha Renovação - Móvel",
D177*INDEX($L$3:$N$13,MATCH(B177,$K$3:$K$13,0),I177),
G177*INDEX($L$3:$N$13,MATCH(B177,$K$3:$K$13,0),I177)
),
0)</f>
        <v>110.98499999999999</v>
      </c>
    </row>
    <row r="178" spans="1:10" x14ac:dyDescent="0.3">
      <c r="A178" s="7" t="s">
        <v>77</v>
      </c>
      <c r="B178" s="6" t="s">
        <v>5</v>
      </c>
      <c r="C178" s="6" t="s">
        <v>6</v>
      </c>
      <c r="D178" s="6">
        <v>1</v>
      </c>
      <c r="E178" s="8">
        <v>26</v>
      </c>
      <c r="F178" s="6" t="s">
        <v>94</v>
      </c>
      <c r="G178" s="12">
        <f t="shared" si="6"/>
        <v>26</v>
      </c>
      <c r="H178">
        <f t="shared" si="7"/>
        <v>26</v>
      </c>
      <c r="I178">
        <f t="shared" si="8"/>
        <v>3</v>
      </c>
      <c r="J178" s="10" cm="1">
        <f t="array" ref="J178">IFERROR(
IF(B178="Campanha Renovação - Móvel",
D178*INDEX($L$3:$N$13,MATCH(B178,$K$3:$K$13,0),I178),
G178*INDEX($L$3:$N$13,MATCH(B178,$K$3:$K$13,0),I178)
),
0)</f>
        <v>39</v>
      </c>
    </row>
    <row r="179" spans="1:10" x14ac:dyDescent="0.3">
      <c r="A179" s="7" t="s">
        <v>78</v>
      </c>
      <c r="B179" s="6" t="s">
        <v>5</v>
      </c>
      <c r="C179" s="6" t="s">
        <v>3</v>
      </c>
      <c r="D179" s="6">
        <v>1</v>
      </c>
      <c r="E179" s="8">
        <v>73.989999999999995</v>
      </c>
      <c r="F179" s="6" t="s">
        <v>94</v>
      </c>
      <c r="G179" s="12">
        <f t="shared" si="6"/>
        <v>73.989999999999995</v>
      </c>
      <c r="H179">
        <f t="shared" si="7"/>
        <v>73.989999999999995</v>
      </c>
      <c r="I179">
        <f t="shared" si="8"/>
        <v>3</v>
      </c>
      <c r="J179" s="10" cm="1">
        <f t="array" ref="J179">IFERROR(
IF(B179="Campanha Renovação - Móvel",
D179*INDEX($L$3:$N$13,MATCH(B179,$K$3:$K$13,0),I179),
G179*INDEX($L$3:$N$13,MATCH(B179,$K$3:$K$13,0),I179)
),
0)</f>
        <v>110.98499999999999</v>
      </c>
    </row>
    <row r="180" spans="1:10" x14ac:dyDescent="0.3">
      <c r="A180" s="7" t="s">
        <v>78</v>
      </c>
      <c r="B180" s="6" t="s">
        <v>5</v>
      </c>
      <c r="C180" s="6" t="s">
        <v>6</v>
      </c>
      <c r="D180" s="6">
        <v>1</v>
      </c>
      <c r="E180" s="8">
        <v>26</v>
      </c>
      <c r="F180" s="6" t="s">
        <v>94</v>
      </c>
      <c r="G180" s="12">
        <f t="shared" si="6"/>
        <v>26</v>
      </c>
      <c r="H180">
        <f t="shared" si="7"/>
        <v>26</v>
      </c>
      <c r="I180">
        <f t="shared" si="8"/>
        <v>3</v>
      </c>
      <c r="J180" s="10" cm="1">
        <f t="array" ref="J180">IFERROR(
IF(B180="Campanha Renovação - Móvel",
D180*INDEX($L$3:$N$13,MATCH(B180,$K$3:$K$13,0),I180),
G180*INDEX($L$3:$N$13,MATCH(B180,$K$3:$K$13,0),I180)
),
0)</f>
        <v>39</v>
      </c>
    </row>
    <row r="181" spans="1:10" x14ac:dyDescent="0.3">
      <c r="A181" s="7" t="s">
        <v>79</v>
      </c>
      <c r="B181" s="6" t="s">
        <v>10</v>
      </c>
      <c r="C181" s="6" t="s">
        <v>9</v>
      </c>
      <c r="D181" s="6">
        <v>1</v>
      </c>
      <c r="E181" s="8">
        <v>99.99</v>
      </c>
      <c r="F181" s="6" t="s">
        <v>94</v>
      </c>
      <c r="G181" s="12">
        <f t="shared" si="6"/>
        <v>99.99</v>
      </c>
      <c r="H181">
        <f t="shared" si="7"/>
        <v>99.99</v>
      </c>
      <c r="I181">
        <f t="shared" si="8"/>
        <v>3</v>
      </c>
      <c r="J181" s="10" cm="1">
        <f t="array" ref="J181">IFERROR(
IF(B181="Campanha Renovação - Móvel",
D181*INDEX($L$3:$N$13,MATCH(B181,$K$3:$K$13,0),I181),
G181*INDEX($L$3:$N$13,MATCH(B181,$K$3:$K$13,0),I181)
),
0)</f>
        <v>149.98499999999999</v>
      </c>
    </row>
    <row r="182" spans="1:10" x14ac:dyDescent="0.3">
      <c r="A182" s="7" t="s">
        <v>79</v>
      </c>
      <c r="B182" s="6" t="s">
        <v>10</v>
      </c>
      <c r="C182" s="6" t="s">
        <v>9</v>
      </c>
      <c r="D182" s="6">
        <v>1</v>
      </c>
      <c r="E182" s="8">
        <v>99.99</v>
      </c>
      <c r="F182" s="6" t="s">
        <v>94</v>
      </c>
      <c r="G182" s="12">
        <f t="shared" si="6"/>
        <v>99.99</v>
      </c>
      <c r="H182">
        <f t="shared" si="7"/>
        <v>99.99</v>
      </c>
      <c r="I182">
        <f t="shared" si="8"/>
        <v>3</v>
      </c>
      <c r="J182" s="10" cm="1">
        <f t="array" ref="J182">IFERROR(
IF(B182="Campanha Renovação - Móvel",
D182*INDEX($L$3:$N$13,MATCH(B182,$K$3:$K$13,0),I182),
G182*INDEX($L$3:$N$13,MATCH(B182,$K$3:$K$13,0),I182)
),
0)</f>
        <v>149.98499999999999</v>
      </c>
    </row>
    <row r="183" spans="1:10" x14ac:dyDescent="0.3">
      <c r="A183" s="7" t="s">
        <v>80</v>
      </c>
      <c r="B183" s="6" t="s">
        <v>8</v>
      </c>
      <c r="C183" s="6" t="s">
        <v>7</v>
      </c>
      <c r="D183" s="6">
        <v>1</v>
      </c>
      <c r="E183" s="8">
        <v>29.99</v>
      </c>
      <c r="F183" s="6" t="s">
        <v>94</v>
      </c>
      <c r="G183" s="12">
        <f t="shared" si="6"/>
        <v>29.99</v>
      </c>
      <c r="H183">
        <f t="shared" si="7"/>
        <v>10</v>
      </c>
      <c r="I183">
        <f t="shared" si="8"/>
        <v>3</v>
      </c>
      <c r="J183" s="10" cm="1">
        <f t="array" ref="J183">IFERROR(
IF(B183="Campanha Renovação - Móvel",
D183*INDEX($L$3:$N$13,MATCH(B183,$K$3:$K$13,0),I183),
G183*INDEX($L$3:$N$13,MATCH(B183,$K$3:$K$13,0),I183)
),
0)</f>
        <v>20</v>
      </c>
    </row>
    <row r="184" spans="1:10" x14ac:dyDescent="0.3">
      <c r="A184" s="7" t="s">
        <v>81</v>
      </c>
      <c r="B184" s="6" t="s">
        <v>10</v>
      </c>
      <c r="C184" s="6" t="s">
        <v>31</v>
      </c>
      <c r="D184" s="6">
        <v>1</v>
      </c>
      <c r="E184" s="8">
        <v>79.989999999999995</v>
      </c>
      <c r="F184" s="6" t="s">
        <v>94</v>
      </c>
      <c r="G184" s="12">
        <f t="shared" si="6"/>
        <v>79.989999999999995</v>
      </c>
      <c r="H184">
        <f t="shared" si="7"/>
        <v>79.989999999999995</v>
      </c>
      <c r="I184">
        <f t="shared" si="8"/>
        <v>3</v>
      </c>
      <c r="J184" s="10" cm="1">
        <f t="array" ref="J184">IFERROR(
IF(B184="Campanha Renovação - Móvel",
D184*INDEX($L$3:$N$13,MATCH(B184,$K$3:$K$13,0),I184),
G184*INDEX($L$3:$N$13,MATCH(B184,$K$3:$K$13,0),I184)
),
0)</f>
        <v>119.98499999999999</v>
      </c>
    </row>
    <row r="185" spans="1:10" x14ac:dyDescent="0.3">
      <c r="A185" s="7" t="s">
        <v>78</v>
      </c>
      <c r="B185" s="6" t="s">
        <v>10</v>
      </c>
      <c r="C185" s="6" t="s">
        <v>11</v>
      </c>
      <c r="D185" s="6">
        <v>1</v>
      </c>
      <c r="E185" s="8">
        <v>39.99</v>
      </c>
      <c r="F185" s="6" t="s">
        <v>94</v>
      </c>
      <c r="G185" s="12">
        <f t="shared" si="6"/>
        <v>39.99</v>
      </c>
      <c r="H185">
        <f t="shared" si="7"/>
        <v>39.99</v>
      </c>
      <c r="I185">
        <f t="shared" si="8"/>
        <v>3</v>
      </c>
      <c r="J185" s="10" cm="1">
        <f t="array" ref="J185">IFERROR(
IF(B185="Campanha Renovação - Móvel",
D185*INDEX($L$3:$N$13,MATCH(B185,$K$3:$K$13,0),I185),
G185*INDEX($L$3:$N$13,MATCH(B185,$K$3:$K$13,0),I185)
),
0)</f>
        <v>59.984999999999999</v>
      </c>
    </row>
    <row r="186" spans="1:10" x14ac:dyDescent="0.3">
      <c r="A186" s="7" t="s">
        <v>78</v>
      </c>
      <c r="B186" s="6" t="s">
        <v>10</v>
      </c>
      <c r="C186" s="6" t="s">
        <v>11</v>
      </c>
      <c r="D186" s="6">
        <v>1</v>
      </c>
      <c r="E186" s="8">
        <v>39.99</v>
      </c>
      <c r="F186" s="6" t="s">
        <v>94</v>
      </c>
      <c r="G186" s="12">
        <f t="shared" si="6"/>
        <v>39.99</v>
      </c>
      <c r="H186">
        <f t="shared" si="7"/>
        <v>39.99</v>
      </c>
      <c r="I186">
        <f t="shared" si="8"/>
        <v>3</v>
      </c>
      <c r="J186" s="10" cm="1">
        <f t="array" ref="J186">IFERROR(
IF(B186="Campanha Renovação - Móvel",
D186*INDEX($L$3:$N$13,MATCH(B186,$K$3:$K$13,0),I186),
G186*INDEX($L$3:$N$13,MATCH(B186,$K$3:$K$13,0),I186)
),
0)</f>
        <v>59.984999999999999</v>
      </c>
    </row>
    <row r="187" spans="1:10" x14ac:dyDescent="0.3">
      <c r="A187" s="7" t="s">
        <v>78</v>
      </c>
      <c r="B187" s="6" t="s">
        <v>10</v>
      </c>
      <c r="C187" s="6" t="s">
        <v>11</v>
      </c>
      <c r="D187" s="6">
        <v>1</v>
      </c>
      <c r="E187" s="8">
        <v>39.99</v>
      </c>
      <c r="F187" s="6" t="s">
        <v>94</v>
      </c>
      <c r="G187" s="12">
        <f t="shared" si="6"/>
        <v>39.99</v>
      </c>
      <c r="H187">
        <f t="shared" si="7"/>
        <v>39.99</v>
      </c>
      <c r="I187">
        <f t="shared" si="8"/>
        <v>3</v>
      </c>
      <c r="J187" s="10" cm="1">
        <f t="array" ref="J187">IFERROR(
IF(B187="Campanha Renovação - Móvel",
D187*INDEX($L$3:$N$13,MATCH(B187,$K$3:$K$13,0),I187),
G187*INDEX($L$3:$N$13,MATCH(B187,$K$3:$K$13,0),I187)
),
0)</f>
        <v>59.984999999999999</v>
      </c>
    </row>
    <row r="188" spans="1:10" x14ac:dyDescent="0.3">
      <c r="A188" s="7" t="s">
        <v>78</v>
      </c>
      <c r="B188" s="6" t="s">
        <v>10</v>
      </c>
      <c r="C188" s="6" t="s">
        <v>11</v>
      </c>
      <c r="D188" s="6">
        <v>1</v>
      </c>
      <c r="E188" s="8">
        <v>39.99</v>
      </c>
      <c r="F188" s="6" t="s">
        <v>94</v>
      </c>
      <c r="G188" s="12">
        <f t="shared" si="6"/>
        <v>39.99</v>
      </c>
      <c r="H188">
        <f t="shared" si="7"/>
        <v>39.99</v>
      </c>
      <c r="I188">
        <f t="shared" si="8"/>
        <v>3</v>
      </c>
      <c r="J188" s="10" cm="1">
        <f t="array" ref="J188">IFERROR(
IF(B188="Campanha Renovação - Móvel",
D188*INDEX($L$3:$N$13,MATCH(B188,$K$3:$K$13,0),I188),
G188*INDEX($L$3:$N$13,MATCH(B188,$K$3:$K$13,0),I188)
),
0)</f>
        <v>59.984999999999999</v>
      </c>
    </row>
    <row r="189" spans="1:10" x14ac:dyDescent="0.3">
      <c r="A189" s="7" t="s">
        <v>78</v>
      </c>
      <c r="B189" s="6" t="s">
        <v>10</v>
      </c>
      <c r="C189" s="6" t="s">
        <v>11</v>
      </c>
      <c r="D189" s="6">
        <v>1</v>
      </c>
      <c r="E189" s="8">
        <v>39.99</v>
      </c>
      <c r="F189" s="6" t="s">
        <v>94</v>
      </c>
      <c r="G189" s="12">
        <f t="shared" si="6"/>
        <v>39.99</v>
      </c>
      <c r="H189">
        <f t="shared" si="7"/>
        <v>39.99</v>
      </c>
      <c r="I189">
        <f t="shared" si="8"/>
        <v>3</v>
      </c>
      <c r="J189" s="10" cm="1">
        <f t="array" ref="J189">IFERROR(
IF(B189="Campanha Renovação - Móvel",
D189*INDEX($L$3:$N$13,MATCH(B189,$K$3:$K$13,0),I189),
G189*INDEX($L$3:$N$13,MATCH(B189,$K$3:$K$13,0),I189)
),
0)</f>
        <v>59.984999999999999</v>
      </c>
    </row>
    <row r="190" spans="1:10" x14ac:dyDescent="0.3">
      <c r="A190" s="7" t="s">
        <v>78</v>
      </c>
      <c r="B190" s="6" t="s">
        <v>10</v>
      </c>
      <c r="C190" s="6" t="s">
        <v>11</v>
      </c>
      <c r="D190" s="6">
        <v>1</v>
      </c>
      <c r="E190" s="8">
        <v>39.99</v>
      </c>
      <c r="F190" s="6" t="s">
        <v>94</v>
      </c>
      <c r="G190" s="12">
        <f t="shared" si="6"/>
        <v>39.99</v>
      </c>
      <c r="H190">
        <f t="shared" si="7"/>
        <v>39.99</v>
      </c>
      <c r="I190">
        <f t="shared" si="8"/>
        <v>3</v>
      </c>
      <c r="J190" s="10" cm="1">
        <f t="array" ref="J190">IFERROR(
IF(B190="Campanha Renovação - Móvel",
D190*INDEX($L$3:$N$13,MATCH(B190,$K$3:$K$13,0),I190),
G190*INDEX($L$3:$N$13,MATCH(B190,$K$3:$K$13,0),I190)
),
0)</f>
        <v>59.984999999999999</v>
      </c>
    </row>
    <row r="191" spans="1:10" x14ac:dyDescent="0.3">
      <c r="A191" s="7" t="s">
        <v>78</v>
      </c>
      <c r="B191" s="6" t="s">
        <v>10</v>
      </c>
      <c r="C191" s="6" t="s">
        <v>11</v>
      </c>
      <c r="D191" s="6">
        <v>1</v>
      </c>
      <c r="E191" s="8">
        <v>39.99</v>
      </c>
      <c r="F191" s="6" t="s">
        <v>94</v>
      </c>
      <c r="G191" s="12">
        <f t="shared" si="6"/>
        <v>39.99</v>
      </c>
      <c r="H191">
        <f t="shared" si="7"/>
        <v>39.99</v>
      </c>
      <c r="I191">
        <f t="shared" si="8"/>
        <v>3</v>
      </c>
      <c r="J191" s="10" cm="1">
        <f t="array" ref="J191">IFERROR(
IF(B191="Campanha Renovação - Móvel",
D191*INDEX($L$3:$N$13,MATCH(B191,$K$3:$K$13,0),I191),
G191*INDEX($L$3:$N$13,MATCH(B191,$K$3:$K$13,0),I191)
),
0)</f>
        <v>59.984999999999999</v>
      </c>
    </row>
    <row r="192" spans="1:10" x14ac:dyDescent="0.3">
      <c r="A192" s="7" t="s">
        <v>78</v>
      </c>
      <c r="B192" s="6" t="s">
        <v>10</v>
      </c>
      <c r="C192" s="6" t="s">
        <v>11</v>
      </c>
      <c r="D192" s="6">
        <v>1</v>
      </c>
      <c r="E192" s="8">
        <v>39.99</v>
      </c>
      <c r="F192" s="6" t="s">
        <v>94</v>
      </c>
      <c r="G192" s="12">
        <f t="shared" si="6"/>
        <v>39.99</v>
      </c>
      <c r="H192">
        <f t="shared" si="7"/>
        <v>39.99</v>
      </c>
      <c r="I192">
        <f t="shared" si="8"/>
        <v>3</v>
      </c>
      <c r="J192" s="10" cm="1">
        <f t="array" ref="J192">IFERROR(
IF(B192="Campanha Renovação - Móvel",
D192*INDEX($L$3:$N$13,MATCH(B192,$K$3:$K$13,0),I192),
G192*INDEX($L$3:$N$13,MATCH(B192,$K$3:$K$13,0),I192)
),
0)</f>
        <v>59.984999999999999</v>
      </c>
    </row>
    <row r="193" spans="1:10" x14ac:dyDescent="0.3">
      <c r="A193" s="7" t="s">
        <v>78</v>
      </c>
      <c r="B193" s="6" t="s">
        <v>10</v>
      </c>
      <c r="C193" s="6" t="s">
        <v>11</v>
      </c>
      <c r="D193" s="6">
        <v>1</v>
      </c>
      <c r="E193" s="8">
        <v>39.99</v>
      </c>
      <c r="F193" s="6" t="s">
        <v>94</v>
      </c>
      <c r="G193" s="12">
        <f t="shared" si="6"/>
        <v>39.99</v>
      </c>
      <c r="H193">
        <f t="shared" si="7"/>
        <v>39.99</v>
      </c>
      <c r="I193">
        <f t="shared" si="8"/>
        <v>3</v>
      </c>
      <c r="J193" s="10" cm="1">
        <f t="array" ref="J193">IFERROR(
IF(B193="Campanha Renovação - Móvel",
D193*INDEX($L$3:$N$13,MATCH(B193,$K$3:$K$13,0),I193),
G193*INDEX($L$3:$N$13,MATCH(B193,$K$3:$K$13,0),I193)
),
0)</f>
        <v>59.984999999999999</v>
      </c>
    </row>
    <row r="194" spans="1:10" x14ac:dyDescent="0.3">
      <c r="A194" s="7" t="s">
        <v>78</v>
      </c>
      <c r="B194" s="6" t="s">
        <v>10</v>
      </c>
      <c r="C194" s="6" t="s">
        <v>11</v>
      </c>
      <c r="D194" s="6">
        <v>1</v>
      </c>
      <c r="E194" s="8">
        <v>39.99</v>
      </c>
      <c r="F194" s="6" t="s">
        <v>94</v>
      </c>
      <c r="G194" s="12">
        <f t="shared" si="6"/>
        <v>39.99</v>
      </c>
      <c r="H194">
        <f t="shared" si="7"/>
        <v>39.99</v>
      </c>
      <c r="I194">
        <f t="shared" si="8"/>
        <v>3</v>
      </c>
      <c r="J194" s="10" cm="1">
        <f t="array" ref="J194">IFERROR(
IF(B194="Campanha Renovação - Móvel",
D194*INDEX($L$3:$N$13,MATCH(B194,$K$3:$K$13,0),I194),
G194*INDEX($L$3:$N$13,MATCH(B194,$K$3:$K$13,0),I194)
),
0)</f>
        <v>59.984999999999999</v>
      </c>
    </row>
    <row r="195" spans="1:10" x14ac:dyDescent="0.3">
      <c r="A195" s="7" t="s">
        <v>78</v>
      </c>
      <c r="B195" s="6" t="s">
        <v>10</v>
      </c>
      <c r="C195" s="6" t="s">
        <v>11</v>
      </c>
      <c r="D195" s="6">
        <v>1</v>
      </c>
      <c r="E195" s="8">
        <v>39.99</v>
      </c>
      <c r="F195" s="6" t="s">
        <v>94</v>
      </c>
      <c r="G195" s="12">
        <f t="shared" ref="G195:G258" si="9">D195*E195</f>
        <v>39.99</v>
      </c>
      <c r="H195">
        <f t="shared" ref="H195:H258" si="10">IF(B195="Básica - Campanha Renovação",0,IF(B195="Campanha Renovação - Móvel",10*D195,IF(B195="Básica PF",G195*0.5,G195)))</f>
        <v>39.99</v>
      </c>
      <c r="I195">
        <f t="shared" ref="I195:I258" si="11">VLOOKUP(F195,$R$4:$T$6,3,FALSE)</f>
        <v>3</v>
      </c>
      <c r="J195" s="10" cm="1">
        <f t="array" ref="J195">IFERROR(
IF(B195="Campanha Renovação - Móvel",
D195*INDEX($L$3:$N$13,MATCH(B195,$K$3:$K$13,0),I195),
G195*INDEX($L$3:$N$13,MATCH(B195,$K$3:$K$13,0),I195)
),
0)</f>
        <v>59.984999999999999</v>
      </c>
    </row>
    <row r="196" spans="1:10" x14ac:dyDescent="0.3">
      <c r="A196" s="7" t="s">
        <v>78</v>
      </c>
      <c r="B196" s="6" t="s">
        <v>10</v>
      </c>
      <c r="C196" s="6" t="s">
        <v>11</v>
      </c>
      <c r="D196" s="6">
        <v>1</v>
      </c>
      <c r="E196" s="8">
        <v>39.99</v>
      </c>
      <c r="F196" s="6" t="s">
        <v>94</v>
      </c>
      <c r="G196" s="12">
        <f t="shared" si="9"/>
        <v>39.99</v>
      </c>
      <c r="H196">
        <f t="shared" si="10"/>
        <v>39.99</v>
      </c>
      <c r="I196">
        <f t="shared" si="11"/>
        <v>3</v>
      </c>
      <c r="J196" s="10" cm="1">
        <f t="array" ref="J196">IFERROR(
IF(B196="Campanha Renovação - Móvel",
D196*INDEX($L$3:$N$13,MATCH(B196,$K$3:$K$13,0),I196),
G196*INDEX($L$3:$N$13,MATCH(B196,$K$3:$K$13,0),I196)
),
0)</f>
        <v>59.984999999999999</v>
      </c>
    </row>
    <row r="197" spans="1:10" x14ac:dyDescent="0.3">
      <c r="A197" s="7" t="s">
        <v>78</v>
      </c>
      <c r="B197" s="6" t="s">
        <v>10</v>
      </c>
      <c r="C197" s="6" t="s">
        <v>11</v>
      </c>
      <c r="D197" s="6">
        <v>1</v>
      </c>
      <c r="E197" s="8">
        <v>39.99</v>
      </c>
      <c r="F197" s="6" t="s">
        <v>94</v>
      </c>
      <c r="G197" s="12">
        <f t="shared" si="9"/>
        <v>39.99</v>
      </c>
      <c r="H197">
        <f t="shared" si="10"/>
        <v>39.99</v>
      </c>
      <c r="I197">
        <f t="shared" si="11"/>
        <v>3</v>
      </c>
      <c r="J197" s="10" cm="1">
        <f t="array" ref="J197">IFERROR(
IF(B197="Campanha Renovação - Móvel",
D197*INDEX($L$3:$N$13,MATCH(B197,$K$3:$K$13,0),I197),
G197*INDEX($L$3:$N$13,MATCH(B197,$K$3:$K$13,0),I197)
),
0)</f>
        <v>59.984999999999999</v>
      </c>
    </row>
    <row r="198" spans="1:10" x14ac:dyDescent="0.3">
      <c r="A198" s="7" t="s">
        <v>78</v>
      </c>
      <c r="B198" s="6" t="s">
        <v>10</v>
      </c>
      <c r="C198" s="6" t="s">
        <v>11</v>
      </c>
      <c r="D198" s="6">
        <v>1</v>
      </c>
      <c r="E198" s="8">
        <v>39.99</v>
      </c>
      <c r="F198" s="6" t="s">
        <v>94</v>
      </c>
      <c r="G198" s="12">
        <f t="shared" si="9"/>
        <v>39.99</v>
      </c>
      <c r="H198">
        <f t="shared" si="10"/>
        <v>39.99</v>
      </c>
      <c r="I198">
        <f t="shared" si="11"/>
        <v>3</v>
      </c>
      <c r="J198" s="10" cm="1">
        <f t="array" ref="J198">IFERROR(
IF(B198="Campanha Renovação - Móvel",
D198*INDEX($L$3:$N$13,MATCH(B198,$K$3:$K$13,0),I198),
G198*INDEX($L$3:$N$13,MATCH(B198,$K$3:$K$13,0),I198)
),
0)</f>
        <v>59.984999999999999</v>
      </c>
    </row>
    <row r="199" spans="1:10" x14ac:dyDescent="0.3">
      <c r="A199" s="7" t="s">
        <v>78</v>
      </c>
      <c r="B199" s="6" t="s">
        <v>10</v>
      </c>
      <c r="C199" s="6" t="s">
        <v>11</v>
      </c>
      <c r="D199" s="6">
        <v>1</v>
      </c>
      <c r="E199" s="8">
        <v>39.99</v>
      </c>
      <c r="F199" s="6" t="s">
        <v>94</v>
      </c>
      <c r="G199" s="12">
        <f t="shared" si="9"/>
        <v>39.99</v>
      </c>
      <c r="H199">
        <f t="shared" si="10"/>
        <v>39.99</v>
      </c>
      <c r="I199">
        <f t="shared" si="11"/>
        <v>3</v>
      </c>
      <c r="J199" s="10" cm="1">
        <f t="array" ref="J199">IFERROR(
IF(B199="Campanha Renovação - Móvel",
D199*INDEX($L$3:$N$13,MATCH(B199,$K$3:$K$13,0),I199),
G199*INDEX($L$3:$N$13,MATCH(B199,$K$3:$K$13,0),I199)
),
0)</f>
        <v>59.984999999999999</v>
      </c>
    </row>
    <row r="200" spans="1:10" x14ac:dyDescent="0.3">
      <c r="A200" s="7" t="s">
        <v>81</v>
      </c>
      <c r="B200" s="6" t="s">
        <v>8</v>
      </c>
      <c r="C200" s="6" t="s">
        <v>7</v>
      </c>
      <c r="D200" s="6">
        <v>1</v>
      </c>
      <c r="E200" s="8">
        <v>29.99</v>
      </c>
      <c r="F200" s="6" t="s">
        <v>94</v>
      </c>
      <c r="G200" s="12">
        <f t="shared" si="9"/>
        <v>29.99</v>
      </c>
      <c r="H200">
        <f t="shared" si="10"/>
        <v>10</v>
      </c>
      <c r="I200">
        <f t="shared" si="11"/>
        <v>3</v>
      </c>
      <c r="J200" s="10" cm="1">
        <f t="array" ref="J200">IFERROR(
IF(B200="Campanha Renovação - Móvel",
D200*INDEX($L$3:$N$13,MATCH(B200,$K$3:$K$13,0),I200),
G200*INDEX($L$3:$N$13,MATCH(B200,$K$3:$K$13,0),I200)
),
0)</f>
        <v>20</v>
      </c>
    </row>
    <row r="201" spans="1:10" x14ac:dyDescent="0.3">
      <c r="A201" s="7" t="s">
        <v>79</v>
      </c>
      <c r="B201" s="6" t="s">
        <v>8</v>
      </c>
      <c r="C201" s="6" t="s">
        <v>7</v>
      </c>
      <c r="D201" s="6">
        <v>1</v>
      </c>
      <c r="E201" s="8">
        <v>29.99</v>
      </c>
      <c r="F201" s="6" t="s">
        <v>94</v>
      </c>
      <c r="G201" s="12">
        <f t="shared" si="9"/>
        <v>29.99</v>
      </c>
      <c r="H201">
        <f t="shared" si="10"/>
        <v>10</v>
      </c>
      <c r="I201">
        <f t="shared" si="11"/>
        <v>3</v>
      </c>
      <c r="J201" s="10" cm="1">
        <f t="array" ref="J201">IFERROR(
IF(B201="Campanha Renovação - Móvel",
D201*INDEX($L$3:$N$13,MATCH(B201,$K$3:$K$13,0),I201),
G201*INDEX($L$3:$N$13,MATCH(B201,$K$3:$K$13,0),I201)
),
0)</f>
        <v>20</v>
      </c>
    </row>
    <row r="202" spans="1:10" x14ac:dyDescent="0.3">
      <c r="A202" s="7" t="s">
        <v>79</v>
      </c>
      <c r="B202" s="6" t="s">
        <v>8</v>
      </c>
      <c r="C202" s="6" t="s">
        <v>7</v>
      </c>
      <c r="D202" s="6">
        <v>1</v>
      </c>
      <c r="E202" s="8">
        <v>29.99</v>
      </c>
      <c r="F202" s="6" t="s">
        <v>94</v>
      </c>
      <c r="G202" s="12">
        <f t="shared" si="9"/>
        <v>29.99</v>
      </c>
      <c r="H202">
        <f t="shared" si="10"/>
        <v>10</v>
      </c>
      <c r="I202">
        <f t="shared" si="11"/>
        <v>3</v>
      </c>
      <c r="J202" s="10" cm="1">
        <f t="array" ref="J202">IFERROR(
IF(B202="Campanha Renovação - Móvel",
D202*INDEX($L$3:$N$13,MATCH(B202,$K$3:$K$13,0),I202),
G202*INDEX($L$3:$N$13,MATCH(B202,$K$3:$K$13,0),I202)
),
0)</f>
        <v>20</v>
      </c>
    </row>
    <row r="203" spans="1:10" x14ac:dyDescent="0.3">
      <c r="A203" s="7" t="s">
        <v>79</v>
      </c>
      <c r="B203" s="6" t="s">
        <v>8</v>
      </c>
      <c r="C203" s="6" t="s">
        <v>11</v>
      </c>
      <c r="D203" s="6">
        <v>1</v>
      </c>
      <c r="E203" s="8">
        <v>39.99</v>
      </c>
      <c r="F203" s="6" t="s">
        <v>94</v>
      </c>
      <c r="G203" s="12">
        <f t="shared" si="9"/>
        <v>39.99</v>
      </c>
      <c r="H203">
        <f t="shared" si="10"/>
        <v>10</v>
      </c>
      <c r="I203">
        <f t="shared" si="11"/>
        <v>3</v>
      </c>
      <c r="J203" s="10" cm="1">
        <f t="array" ref="J203">IFERROR(
IF(B203="Campanha Renovação - Móvel",
D203*INDEX($L$3:$N$13,MATCH(B203,$K$3:$K$13,0),I203),
G203*INDEX($L$3:$N$13,MATCH(B203,$K$3:$K$13,0),I203)
),
0)</f>
        <v>20</v>
      </c>
    </row>
    <row r="204" spans="1:10" x14ac:dyDescent="0.3">
      <c r="A204" s="7" t="s">
        <v>79</v>
      </c>
      <c r="B204" s="6" t="s">
        <v>8</v>
      </c>
      <c r="C204" s="6" t="s">
        <v>13</v>
      </c>
      <c r="D204" s="6">
        <v>1</v>
      </c>
      <c r="E204" s="8">
        <v>44.99</v>
      </c>
      <c r="F204" s="6" t="s">
        <v>94</v>
      </c>
      <c r="G204" s="12">
        <f t="shared" si="9"/>
        <v>44.99</v>
      </c>
      <c r="H204">
        <f t="shared" si="10"/>
        <v>10</v>
      </c>
      <c r="I204">
        <f t="shared" si="11"/>
        <v>3</v>
      </c>
      <c r="J204" s="10" cm="1">
        <f t="array" ref="J204">IFERROR(
IF(B204="Campanha Renovação - Móvel",
D204*INDEX($L$3:$N$13,MATCH(B204,$K$3:$K$13,0),I204),
G204*INDEX($L$3:$N$13,MATCH(B204,$K$3:$K$13,0),I204)
),
0)</f>
        <v>20</v>
      </c>
    </row>
    <row r="205" spans="1:10" x14ac:dyDescent="0.3">
      <c r="A205" s="7" t="s">
        <v>79</v>
      </c>
      <c r="B205" s="6" t="s">
        <v>8</v>
      </c>
      <c r="C205" s="6" t="s">
        <v>7</v>
      </c>
      <c r="D205" s="6">
        <v>1</v>
      </c>
      <c r="E205" s="8">
        <v>29.99</v>
      </c>
      <c r="F205" s="6" t="s">
        <v>94</v>
      </c>
      <c r="G205" s="12">
        <f t="shared" si="9"/>
        <v>29.99</v>
      </c>
      <c r="H205">
        <f t="shared" si="10"/>
        <v>10</v>
      </c>
      <c r="I205">
        <f t="shared" si="11"/>
        <v>3</v>
      </c>
      <c r="J205" s="10" cm="1">
        <f t="array" ref="J205">IFERROR(
IF(B205="Campanha Renovação - Móvel",
D205*INDEX($L$3:$N$13,MATCH(B205,$K$3:$K$13,0),I205),
G205*INDEX($L$3:$N$13,MATCH(B205,$K$3:$K$13,0),I205)
),
0)</f>
        <v>20</v>
      </c>
    </row>
    <row r="206" spans="1:10" x14ac:dyDescent="0.3">
      <c r="A206" s="7" t="s">
        <v>79</v>
      </c>
      <c r="B206" s="6" t="s">
        <v>8</v>
      </c>
      <c r="C206" s="6" t="s">
        <v>7</v>
      </c>
      <c r="D206" s="6">
        <v>1</v>
      </c>
      <c r="E206" s="8">
        <v>29.99</v>
      </c>
      <c r="F206" s="6" t="s">
        <v>94</v>
      </c>
      <c r="G206" s="12">
        <f t="shared" si="9"/>
        <v>29.99</v>
      </c>
      <c r="H206">
        <f t="shared" si="10"/>
        <v>10</v>
      </c>
      <c r="I206">
        <f t="shared" si="11"/>
        <v>3</v>
      </c>
      <c r="J206" s="10" cm="1">
        <f t="array" ref="J206">IFERROR(
IF(B206="Campanha Renovação - Móvel",
D206*INDEX($L$3:$N$13,MATCH(B206,$K$3:$K$13,0),I206),
G206*INDEX($L$3:$N$13,MATCH(B206,$K$3:$K$13,0),I206)
),
0)</f>
        <v>20</v>
      </c>
    </row>
    <row r="207" spans="1:10" x14ac:dyDescent="0.3">
      <c r="A207" s="7" t="s">
        <v>79</v>
      </c>
      <c r="B207" s="6" t="s">
        <v>8</v>
      </c>
      <c r="C207" s="6" t="s">
        <v>7</v>
      </c>
      <c r="D207" s="6">
        <v>1</v>
      </c>
      <c r="E207" s="8">
        <v>29.99</v>
      </c>
      <c r="F207" s="6" t="s">
        <v>94</v>
      </c>
      <c r="G207" s="12">
        <f t="shared" si="9"/>
        <v>29.99</v>
      </c>
      <c r="H207">
        <f t="shared" si="10"/>
        <v>10</v>
      </c>
      <c r="I207">
        <f t="shared" si="11"/>
        <v>3</v>
      </c>
      <c r="J207" s="10" cm="1">
        <f t="array" ref="J207">IFERROR(
IF(B207="Campanha Renovação - Móvel",
D207*INDEX($L$3:$N$13,MATCH(B207,$K$3:$K$13,0),I207),
G207*INDEX($L$3:$N$13,MATCH(B207,$K$3:$K$13,0),I207)
),
0)</f>
        <v>20</v>
      </c>
    </row>
    <row r="208" spans="1:10" x14ac:dyDescent="0.3">
      <c r="A208" s="7" t="s">
        <v>82</v>
      </c>
      <c r="B208" s="6" t="s">
        <v>10</v>
      </c>
      <c r="C208" s="6" t="s">
        <v>9</v>
      </c>
      <c r="D208" s="6">
        <v>1</v>
      </c>
      <c r="E208" s="8">
        <v>99.99</v>
      </c>
      <c r="F208" s="6" t="s">
        <v>94</v>
      </c>
      <c r="G208" s="12">
        <f t="shared" si="9"/>
        <v>99.99</v>
      </c>
      <c r="H208">
        <f t="shared" si="10"/>
        <v>99.99</v>
      </c>
      <c r="I208">
        <f t="shared" si="11"/>
        <v>3</v>
      </c>
      <c r="J208" s="10" cm="1">
        <f t="array" ref="J208">IFERROR(
IF(B208="Campanha Renovação - Móvel",
D208*INDEX($L$3:$N$13,MATCH(B208,$K$3:$K$13,0),I208),
G208*INDEX($L$3:$N$13,MATCH(B208,$K$3:$K$13,0),I208)
),
0)</f>
        <v>149.98499999999999</v>
      </c>
    </row>
    <row r="209" spans="1:10" x14ac:dyDescent="0.3">
      <c r="A209" s="7" t="s">
        <v>82</v>
      </c>
      <c r="B209" s="6" t="s">
        <v>8</v>
      </c>
      <c r="C209" s="6" t="s">
        <v>7</v>
      </c>
      <c r="D209" s="6">
        <v>1</v>
      </c>
      <c r="E209" s="8">
        <v>29.99</v>
      </c>
      <c r="F209" s="6" t="s">
        <v>94</v>
      </c>
      <c r="G209" s="12">
        <f t="shared" si="9"/>
        <v>29.99</v>
      </c>
      <c r="H209">
        <f t="shared" si="10"/>
        <v>10</v>
      </c>
      <c r="I209">
        <f t="shared" si="11"/>
        <v>3</v>
      </c>
      <c r="J209" s="10" cm="1">
        <f t="array" ref="J209">IFERROR(
IF(B209="Campanha Renovação - Móvel",
D209*INDEX($L$3:$N$13,MATCH(B209,$K$3:$K$13,0),I209),
G209*INDEX($L$3:$N$13,MATCH(B209,$K$3:$K$13,0),I209)
),
0)</f>
        <v>20</v>
      </c>
    </row>
    <row r="210" spans="1:10" x14ac:dyDescent="0.3">
      <c r="A210" s="7" t="s">
        <v>82</v>
      </c>
      <c r="B210" s="6" t="s">
        <v>8</v>
      </c>
      <c r="C210" s="6" t="s">
        <v>7</v>
      </c>
      <c r="D210" s="6">
        <v>1</v>
      </c>
      <c r="E210" s="8">
        <v>29.99</v>
      </c>
      <c r="F210" s="6" t="s">
        <v>94</v>
      </c>
      <c r="G210" s="12">
        <f t="shared" si="9"/>
        <v>29.99</v>
      </c>
      <c r="H210">
        <f t="shared" si="10"/>
        <v>10</v>
      </c>
      <c r="I210">
        <f t="shared" si="11"/>
        <v>3</v>
      </c>
      <c r="J210" s="10" cm="1">
        <f t="array" ref="J210">IFERROR(
IF(B210="Campanha Renovação - Móvel",
D210*INDEX($L$3:$N$13,MATCH(B210,$K$3:$K$13,0),I210),
G210*INDEX($L$3:$N$13,MATCH(B210,$K$3:$K$13,0),I210)
),
0)</f>
        <v>20</v>
      </c>
    </row>
    <row r="211" spans="1:10" x14ac:dyDescent="0.3">
      <c r="A211" s="7" t="s">
        <v>82</v>
      </c>
      <c r="B211" s="6" t="s">
        <v>8</v>
      </c>
      <c r="C211" s="6" t="s">
        <v>7</v>
      </c>
      <c r="D211" s="6">
        <v>1</v>
      </c>
      <c r="E211" s="8">
        <v>29.99</v>
      </c>
      <c r="F211" s="6" t="s">
        <v>94</v>
      </c>
      <c r="G211" s="12">
        <f t="shared" si="9"/>
        <v>29.99</v>
      </c>
      <c r="H211">
        <f t="shared" si="10"/>
        <v>10</v>
      </c>
      <c r="I211">
        <f t="shared" si="11"/>
        <v>3</v>
      </c>
      <c r="J211" s="10" cm="1">
        <f t="array" ref="J211">IFERROR(
IF(B211="Campanha Renovação - Móvel",
D211*INDEX($L$3:$N$13,MATCH(B211,$K$3:$K$13,0),I211),
G211*INDEX($L$3:$N$13,MATCH(B211,$K$3:$K$13,0),I211)
),
0)</f>
        <v>20</v>
      </c>
    </row>
    <row r="212" spans="1:10" x14ac:dyDescent="0.3">
      <c r="A212" s="7" t="s">
        <v>82</v>
      </c>
      <c r="B212" s="6" t="s">
        <v>8</v>
      </c>
      <c r="C212" s="6" t="s">
        <v>7</v>
      </c>
      <c r="D212" s="6">
        <v>1</v>
      </c>
      <c r="E212" s="8">
        <v>29.99</v>
      </c>
      <c r="F212" s="6" t="s">
        <v>94</v>
      </c>
      <c r="G212" s="12">
        <f t="shared" si="9"/>
        <v>29.99</v>
      </c>
      <c r="H212">
        <f t="shared" si="10"/>
        <v>10</v>
      </c>
      <c r="I212">
        <f t="shared" si="11"/>
        <v>3</v>
      </c>
      <c r="J212" s="10" cm="1">
        <f t="array" ref="J212">IFERROR(
IF(B212="Campanha Renovação - Móvel",
D212*INDEX($L$3:$N$13,MATCH(B212,$K$3:$K$13,0),I212),
G212*INDEX($L$3:$N$13,MATCH(B212,$K$3:$K$13,0),I212)
),
0)</f>
        <v>20</v>
      </c>
    </row>
    <row r="213" spans="1:10" x14ac:dyDescent="0.3">
      <c r="A213" s="7" t="s">
        <v>82</v>
      </c>
      <c r="B213" s="6" t="s">
        <v>8</v>
      </c>
      <c r="C213" s="6" t="s">
        <v>7</v>
      </c>
      <c r="D213" s="6">
        <v>1</v>
      </c>
      <c r="E213" s="8">
        <v>29.99</v>
      </c>
      <c r="F213" s="6" t="s">
        <v>94</v>
      </c>
      <c r="G213" s="12">
        <f t="shared" si="9"/>
        <v>29.99</v>
      </c>
      <c r="H213">
        <f t="shared" si="10"/>
        <v>10</v>
      </c>
      <c r="I213">
        <f t="shared" si="11"/>
        <v>3</v>
      </c>
      <c r="J213" s="10" cm="1">
        <f t="array" ref="J213">IFERROR(
IF(B213="Campanha Renovação - Móvel",
D213*INDEX($L$3:$N$13,MATCH(B213,$K$3:$K$13,0),I213),
G213*INDEX($L$3:$N$13,MATCH(B213,$K$3:$K$13,0),I213)
),
0)</f>
        <v>20</v>
      </c>
    </row>
    <row r="214" spans="1:10" x14ac:dyDescent="0.3">
      <c r="A214" s="7" t="s">
        <v>82</v>
      </c>
      <c r="B214" s="6" t="s">
        <v>8</v>
      </c>
      <c r="C214" s="6" t="s">
        <v>7</v>
      </c>
      <c r="D214" s="6">
        <v>1</v>
      </c>
      <c r="E214" s="8">
        <v>29.99</v>
      </c>
      <c r="F214" s="6" t="s">
        <v>94</v>
      </c>
      <c r="G214" s="12">
        <f t="shared" si="9"/>
        <v>29.99</v>
      </c>
      <c r="H214">
        <f t="shared" si="10"/>
        <v>10</v>
      </c>
      <c r="I214">
        <f t="shared" si="11"/>
        <v>3</v>
      </c>
      <c r="J214" s="10" cm="1">
        <f t="array" ref="J214">IFERROR(
IF(B214="Campanha Renovação - Móvel",
D214*INDEX($L$3:$N$13,MATCH(B214,$K$3:$K$13,0),I214),
G214*INDEX($L$3:$N$13,MATCH(B214,$K$3:$K$13,0),I214)
),
0)</f>
        <v>20</v>
      </c>
    </row>
    <row r="215" spans="1:10" x14ac:dyDescent="0.3">
      <c r="A215" s="7" t="s">
        <v>82</v>
      </c>
      <c r="B215" s="6" t="s">
        <v>8</v>
      </c>
      <c r="C215" s="6" t="s">
        <v>7</v>
      </c>
      <c r="D215" s="6">
        <v>1</v>
      </c>
      <c r="E215" s="8">
        <v>29.99</v>
      </c>
      <c r="F215" s="6" t="s">
        <v>94</v>
      </c>
      <c r="G215" s="12">
        <f t="shared" si="9"/>
        <v>29.99</v>
      </c>
      <c r="H215">
        <f t="shared" si="10"/>
        <v>10</v>
      </c>
      <c r="I215">
        <f t="shared" si="11"/>
        <v>3</v>
      </c>
      <c r="J215" s="10" cm="1">
        <f t="array" ref="J215">IFERROR(
IF(B215="Campanha Renovação - Móvel",
D215*INDEX($L$3:$N$13,MATCH(B215,$K$3:$K$13,0),I215),
G215*INDEX($L$3:$N$13,MATCH(B215,$K$3:$K$13,0),I215)
),
0)</f>
        <v>20</v>
      </c>
    </row>
    <row r="216" spans="1:10" x14ac:dyDescent="0.3">
      <c r="A216" s="7" t="s">
        <v>82</v>
      </c>
      <c r="B216" s="6" t="s">
        <v>8</v>
      </c>
      <c r="C216" s="6" t="s">
        <v>7</v>
      </c>
      <c r="D216" s="6">
        <v>1</v>
      </c>
      <c r="E216" s="8">
        <v>29.99</v>
      </c>
      <c r="F216" s="6" t="s">
        <v>94</v>
      </c>
      <c r="G216" s="12">
        <f t="shared" si="9"/>
        <v>29.99</v>
      </c>
      <c r="H216">
        <f t="shared" si="10"/>
        <v>10</v>
      </c>
      <c r="I216">
        <f t="shared" si="11"/>
        <v>3</v>
      </c>
      <c r="J216" s="10" cm="1">
        <f t="array" ref="J216">IFERROR(
IF(B216="Campanha Renovação - Móvel",
D216*INDEX($L$3:$N$13,MATCH(B216,$K$3:$K$13,0),I216),
G216*INDEX($L$3:$N$13,MATCH(B216,$K$3:$K$13,0),I216)
),
0)</f>
        <v>20</v>
      </c>
    </row>
    <row r="217" spans="1:10" x14ac:dyDescent="0.3">
      <c r="A217" s="7" t="s">
        <v>82</v>
      </c>
      <c r="B217" s="6" t="s">
        <v>8</v>
      </c>
      <c r="C217" s="6" t="s">
        <v>7</v>
      </c>
      <c r="D217" s="6">
        <v>1</v>
      </c>
      <c r="E217" s="8">
        <v>29.99</v>
      </c>
      <c r="F217" s="6" t="s">
        <v>94</v>
      </c>
      <c r="G217" s="12">
        <f t="shared" si="9"/>
        <v>29.99</v>
      </c>
      <c r="H217">
        <f t="shared" si="10"/>
        <v>10</v>
      </c>
      <c r="I217">
        <f t="shared" si="11"/>
        <v>3</v>
      </c>
      <c r="J217" s="10" cm="1">
        <f t="array" ref="J217">IFERROR(
IF(B217="Campanha Renovação - Móvel",
D217*INDEX($L$3:$N$13,MATCH(B217,$K$3:$K$13,0),I217),
G217*INDEX($L$3:$N$13,MATCH(B217,$K$3:$K$13,0),I217)
),
0)</f>
        <v>20</v>
      </c>
    </row>
    <row r="218" spans="1:10" x14ac:dyDescent="0.3">
      <c r="A218" s="7" t="s">
        <v>82</v>
      </c>
      <c r="B218" s="6" t="s">
        <v>8</v>
      </c>
      <c r="C218" s="6" t="s">
        <v>7</v>
      </c>
      <c r="D218" s="6">
        <v>1</v>
      </c>
      <c r="E218" s="8">
        <v>29.99</v>
      </c>
      <c r="F218" s="6" t="s">
        <v>94</v>
      </c>
      <c r="G218" s="12">
        <f t="shared" si="9"/>
        <v>29.99</v>
      </c>
      <c r="H218">
        <f t="shared" si="10"/>
        <v>10</v>
      </c>
      <c r="I218">
        <f t="shared" si="11"/>
        <v>3</v>
      </c>
      <c r="J218" s="10" cm="1">
        <f t="array" ref="J218">IFERROR(
IF(B218="Campanha Renovação - Móvel",
D218*INDEX($L$3:$N$13,MATCH(B218,$K$3:$K$13,0),I218),
G218*INDEX($L$3:$N$13,MATCH(B218,$K$3:$K$13,0),I218)
),
0)</f>
        <v>20</v>
      </c>
    </row>
    <row r="219" spans="1:10" x14ac:dyDescent="0.3">
      <c r="A219" s="7" t="s">
        <v>82</v>
      </c>
      <c r="B219" s="6" t="s">
        <v>8</v>
      </c>
      <c r="C219" s="6" t="s">
        <v>7</v>
      </c>
      <c r="D219" s="6">
        <v>1</v>
      </c>
      <c r="E219" s="8">
        <v>29.99</v>
      </c>
      <c r="F219" s="6" t="s">
        <v>94</v>
      </c>
      <c r="G219" s="12">
        <f t="shared" si="9"/>
        <v>29.99</v>
      </c>
      <c r="H219">
        <f t="shared" si="10"/>
        <v>10</v>
      </c>
      <c r="I219">
        <f t="shared" si="11"/>
        <v>3</v>
      </c>
      <c r="J219" s="10" cm="1">
        <f t="array" ref="J219">IFERROR(
IF(B219="Campanha Renovação - Móvel",
D219*INDEX($L$3:$N$13,MATCH(B219,$K$3:$K$13,0),I219),
G219*INDEX($L$3:$N$13,MATCH(B219,$K$3:$K$13,0),I219)
),
0)</f>
        <v>20</v>
      </c>
    </row>
    <row r="220" spans="1:10" x14ac:dyDescent="0.3">
      <c r="A220" s="7" t="s">
        <v>82</v>
      </c>
      <c r="B220" s="6" t="s">
        <v>8</v>
      </c>
      <c r="C220" s="6" t="s">
        <v>7</v>
      </c>
      <c r="D220" s="6">
        <v>1</v>
      </c>
      <c r="E220" s="8">
        <v>29.99</v>
      </c>
      <c r="F220" s="6" t="s">
        <v>94</v>
      </c>
      <c r="G220" s="12">
        <f t="shared" si="9"/>
        <v>29.99</v>
      </c>
      <c r="H220">
        <f t="shared" si="10"/>
        <v>10</v>
      </c>
      <c r="I220">
        <f t="shared" si="11"/>
        <v>3</v>
      </c>
      <c r="J220" s="10" cm="1">
        <f t="array" ref="J220">IFERROR(
IF(B220="Campanha Renovação - Móvel",
D220*INDEX($L$3:$N$13,MATCH(B220,$K$3:$K$13,0),I220),
G220*INDEX($L$3:$N$13,MATCH(B220,$K$3:$K$13,0),I220)
),
0)</f>
        <v>20</v>
      </c>
    </row>
    <row r="221" spans="1:10" x14ac:dyDescent="0.3">
      <c r="A221" s="7" t="s">
        <v>82</v>
      </c>
      <c r="B221" s="6" t="s">
        <v>8</v>
      </c>
      <c r="C221" s="6" t="s">
        <v>7</v>
      </c>
      <c r="D221" s="6">
        <v>1</v>
      </c>
      <c r="E221" s="8">
        <v>29.99</v>
      </c>
      <c r="F221" s="6" t="s">
        <v>94</v>
      </c>
      <c r="G221" s="12">
        <f t="shared" si="9"/>
        <v>29.99</v>
      </c>
      <c r="H221">
        <f t="shared" si="10"/>
        <v>10</v>
      </c>
      <c r="I221">
        <f t="shared" si="11"/>
        <v>3</v>
      </c>
      <c r="J221" s="10" cm="1">
        <f t="array" ref="J221">IFERROR(
IF(B221="Campanha Renovação - Móvel",
D221*INDEX($L$3:$N$13,MATCH(B221,$K$3:$K$13,0),I221),
G221*INDEX($L$3:$N$13,MATCH(B221,$K$3:$K$13,0),I221)
),
0)</f>
        <v>20</v>
      </c>
    </row>
    <row r="222" spans="1:10" x14ac:dyDescent="0.3">
      <c r="A222" s="7" t="s">
        <v>83</v>
      </c>
      <c r="B222" s="6" t="s">
        <v>10</v>
      </c>
      <c r="C222" s="6" t="s">
        <v>9</v>
      </c>
      <c r="D222" s="6">
        <v>1</v>
      </c>
      <c r="E222" s="8">
        <v>99.99</v>
      </c>
      <c r="F222" s="6" t="s">
        <v>94</v>
      </c>
      <c r="G222" s="12">
        <f t="shared" si="9"/>
        <v>99.99</v>
      </c>
      <c r="H222">
        <f t="shared" si="10"/>
        <v>99.99</v>
      </c>
      <c r="I222">
        <f t="shared" si="11"/>
        <v>3</v>
      </c>
      <c r="J222" s="10" cm="1">
        <f t="array" ref="J222">IFERROR(
IF(B222="Campanha Renovação - Móvel",
D222*INDEX($L$3:$N$13,MATCH(B222,$K$3:$K$13,0),I222),
G222*INDEX($L$3:$N$13,MATCH(B222,$K$3:$K$13,0),I222)
),
0)</f>
        <v>149.98499999999999</v>
      </c>
    </row>
    <row r="223" spans="1:10" x14ac:dyDescent="0.3">
      <c r="A223" s="7" t="s">
        <v>83</v>
      </c>
      <c r="B223" s="6" t="s">
        <v>8</v>
      </c>
      <c r="C223" s="6" t="s">
        <v>7</v>
      </c>
      <c r="D223" s="6">
        <v>1</v>
      </c>
      <c r="E223" s="8">
        <v>29.99</v>
      </c>
      <c r="F223" s="6" t="s">
        <v>94</v>
      </c>
      <c r="G223" s="12">
        <f t="shared" si="9"/>
        <v>29.99</v>
      </c>
      <c r="H223">
        <f t="shared" si="10"/>
        <v>10</v>
      </c>
      <c r="I223">
        <f t="shared" si="11"/>
        <v>3</v>
      </c>
      <c r="J223" s="10" cm="1">
        <f t="array" ref="J223">IFERROR(
IF(B223="Campanha Renovação - Móvel",
D223*INDEX($L$3:$N$13,MATCH(B223,$K$3:$K$13,0),I223),
G223*INDEX($L$3:$N$13,MATCH(B223,$K$3:$K$13,0),I223)
),
0)</f>
        <v>20</v>
      </c>
    </row>
    <row r="224" spans="1:10" x14ac:dyDescent="0.3">
      <c r="A224" s="7" t="s">
        <v>83</v>
      </c>
      <c r="B224" s="6" t="s">
        <v>8</v>
      </c>
      <c r="C224" s="6" t="s">
        <v>7</v>
      </c>
      <c r="D224" s="6">
        <v>1</v>
      </c>
      <c r="E224" s="8">
        <v>29.99</v>
      </c>
      <c r="F224" s="6" t="s">
        <v>94</v>
      </c>
      <c r="G224" s="12">
        <f t="shared" si="9"/>
        <v>29.99</v>
      </c>
      <c r="H224">
        <f t="shared" si="10"/>
        <v>10</v>
      </c>
      <c r="I224">
        <f t="shared" si="11"/>
        <v>3</v>
      </c>
      <c r="J224" s="10" cm="1">
        <f t="array" ref="J224">IFERROR(
IF(B224="Campanha Renovação - Móvel",
D224*INDEX($L$3:$N$13,MATCH(B224,$K$3:$K$13,0),I224),
G224*INDEX($L$3:$N$13,MATCH(B224,$K$3:$K$13,0),I224)
),
0)</f>
        <v>20</v>
      </c>
    </row>
    <row r="225" spans="1:10" x14ac:dyDescent="0.3">
      <c r="A225" s="7" t="s">
        <v>83</v>
      </c>
      <c r="B225" s="6" t="s">
        <v>8</v>
      </c>
      <c r="C225" s="6" t="s">
        <v>7</v>
      </c>
      <c r="D225" s="6">
        <v>1</v>
      </c>
      <c r="E225" s="8">
        <v>29.99</v>
      </c>
      <c r="F225" s="6" t="s">
        <v>94</v>
      </c>
      <c r="G225" s="12">
        <f t="shared" si="9"/>
        <v>29.99</v>
      </c>
      <c r="H225">
        <f t="shared" si="10"/>
        <v>10</v>
      </c>
      <c r="I225">
        <f t="shared" si="11"/>
        <v>3</v>
      </c>
      <c r="J225" s="10" cm="1">
        <f t="array" ref="J225">IFERROR(
IF(B225="Campanha Renovação - Móvel",
D225*INDEX($L$3:$N$13,MATCH(B225,$K$3:$K$13,0),I225),
G225*INDEX($L$3:$N$13,MATCH(B225,$K$3:$K$13,0),I225)
),
0)</f>
        <v>20</v>
      </c>
    </row>
    <row r="226" spans="1:10" x14ac:dyDescent="0.3">
      <c r="A226" s="7" t="s">
        <v>83</v>
      </c>
      <c r="B226" s="6" t="s">
        <v>8</v>
      </c>
      <c r="C226" s="6" t="s">
        <v>7</v>
      </c>
      <c r="D226" s="6">
        <v>1</v>
      </c>
      <c r="E226" s="8">
        <v>29.99</v>
      </c>
      <c r="F226" s="6" t="s">
        <v>94</v>
      </c>
      <c r="G226" s="12">
        <f t="shared" si="9"/>
        <v>29.99</v>
      </c>
      <c r="H226">
        <f t="shared" si="10"/>
        <v>10</v>
      </c>
      <c r="I226">
        <f t="shared" si="11"/>
        <v>3</v>
      </c>
      <c r="J226" s="10" cm="1">
        <f t="array" ref="J226">IFERROR(
IF(B226="Campanha Renovação - Móvel",
D226*INDEX($L$3:$N$13,MATCH(B226,$K$3:$K$13,0),I226),
G226*INDEX($L$3:$N$13,MATCH(B226,$K$3:$K$13,0),I226)
),
0)</f>
        <v>20</v>
      </c>
    </row>
    <row r="227" spans="1:10" x14ac:dyDescent="0.3">
      <c r="A227" s="7" t="s">
        <v>83</v>
      </c>
      <c r="B227" s="6" t="s">
        <v>8</v>
      </c>
      <c r="C227" s="6" t="s">
        <v>7</v>
      </c>
      <c r="D227" s="6">
        <v>1</v>
      </c>
      <c r="E227" s="8">
        <v>29.99</v>
      </c>
      <c r="F227" s="6" t="s">
        <v>94</v>
      </c>
      <c r="G227" s="12">
        <f t="shared" si="9"/>
        <v>29.99</v>
      </c>
      <c r="H227">
        <f t="shared" si="10"/>
        <v>10</v>
      </c>
      <c r="I227">
        <f t="shared" si="11"/>
        <v>3</v>
      </c>
      <c r="J227" s="10" cm="1">
        <f t="array" ref="J227">IFERROR(
IF(B227="Campanha Renovação - Móvel",
D227*INDEX($L$3:$N$13,MATCH(B227,$K$3:$K$13,0),I227),
G227*INDEX($L$3:$N$13,MATCH(B227,$K$3:$K$13,0),I227)
),
0)</f>
        <v>20</v>
      </c>
    </row>
    <row r="228" spans="1:10" x14ac:dyDescent="0.3">
      <c r="A228" s="7" t="s">
        <v>83</v>
      </c>
      <c r="B228" s="6" t="s">
        <v>8</v>
      </c>
      <c r="C228" s="6" t="s">
        <v>7</v>
      </c>
      <c r="D228" s="6">
        <v>1</v>
      </c>
      <c r="E228" s="8">
        <v>29.99</v>
      </c>
      <c r="F228" s="6" t="s">
        <v>94</v>
      </c>
      <c r="G228" s="12">
        <f t="shared" si="9"/>
        <v>29.99</v>
      </c>
      <c r="H228">
        <f t="shared" si="10"/>
        <v>10</v>
      </c>
      <c r="I228">
        <f t="shared" si="11"/>
        <v>3</v>
      </c>
      <c r="J228" s="10" cm="1">
        <f t="array" ref="J228">IFERROR(
IF(B228="Campanha Renovação - Móvel",
D228*INDEX($L$3:$N$13,MATCH(B228,$K$3:$K$13,0),I228),
G228*INDEX($L$3:$N$13,MATCH(B228,$K$3:$K$13,0),I228)
),
0)</f>
        <v>20</v>
      </c>
    </row>
    <row r="229" spans="1:10" x14ac:dyDescent="0.3">
      <c r="A229" s="7" t="s">
        <v>83</v>
      </c>
      <c r="B229" s="6" t="s">
        <v>8</v>
      </c>
      <c r="C229" s="6" t="s">
        <v>7</v>
      </c>
      <c r="D229" s="6">
        <v>1</v>
      </c>
      <c r="E229" s="8">
        <v>29.99</v>
      </c>
      <c r="F229" s="6" t="s">
        <v>94</v>
      </c>
      <c r="G229" s="12">
        <f t="shared" si="9"/>
        <v>29.99</v>
      </c>
      <c r="H229">
        <f t="shared" si="10"/>
        <v>10</v>
      </c>
      <c r="I229">
        <f t="shared" si="11"/>
        <v>3</v>
      </c>
      <c r="J229" s="10" cm="1">
        <f t="array" ref="J229">IFERROR(
IF(B229="Campanha Renovação - Móvel",
D229*INDEX($L$3:$N$13,MATCH(B229,$K$3:$K$13,0),I229),
G229*INDEX($L$3:$N$13,MATCH(B229,$K$3:$K$13,0),I229)
),
0)</f>
        <v>20</v>
      </c>
    </row>
    <row r="230" spans="1:10" x14ac:dyDescent="0.3">
      <c r="A230" s="7" t="s">
        <v>83</v>
      </c>
      <c r="B230" s="6" t="s">
        <v>8</v>
      </c>
      <c r="C230" s="6" t="s">
        <v>7</v>
      </c>
      <c r="D230" s="6">
        <v>1</v>
      </c>
      <c r="E230" s="8">
        <v>29.99</v>
      </c>
      <c r="F230" s="6" t="s">
        <v>94</v>
      </c>
      <c r="G230" s="12">
        <f t="shared" si="9"/>
        <v>29.99</v>
      </c>
      <c r="H230">
        <f t="shared" si="10"/>
        <v>10</v>
      </c>
      <c r="I230">
        <f t="shared" si="11"/>
        <v>3</v>
      </c>
      <c r="J230" s="10" cm="1">
        <f t="array" ref="J230">IFERROR(
IF(B230="Campanha Renovação - Móvel",
D230*INDEX($L$3:$N$13,MATCH(B230,$K$3:$K$13,0),I230),
G230*INDEX($L$3:$N$13,MATCH(B230,$K$3:$K$13,0),I230)
),
0)</f>
        <v>20</v>
      </c>
    </row>
    <row r="231" spans="1:10" x14ac:dyDescent="0.3">
      <c r="A231" s="7" t="s">
        <v>83</v>
      </c>
      <c r="B231" s="6" t="s">
        <v>8</v>
      </c>
      <c r="C231" s="6" t="s">
        <v>7</v>
      </c>
      <c r="D231" s="6">
        <v>1</v>
      </c>
      <c r="E231" s="8">
        <v>29.99</v>
      </c>
      <c r="F231" s="6" t="s">
        <v>94</v>
      </c>
      <c r="G231" s="12">
        <f t="shared" si="9"/>
        <v>29.99</v>
      </c>
      <c r="H231">
        <f t="shared" si="10"/>
        <v>10</v>
      </c>
      <c r="I231">
        <f t="shared" si="11"/>
        <v>3</v>
      </c>
      <c r="J231" s="10" cm="1">
        <f t="array" ref="J231">IFERROR(
IF(B231="Campanha Renovação - Móvel",
D231*INDEX($L$3:$N$13,MATCH(B231,$K$3:$K$13,0),I231),
G231*INDEX($L$3:$N$13,MATCH(B231,$K$3:$K$13,0),I231)
),
0)</f>
        <v>20</v>
      </c>
    </row>
    <row r="232" spans="1:10" x14ac:dyDescent="0.3">
      <c r="A232" s="7" t="s">
        <v>83</v>
      </c>
      <c r="B232" s="6" t="s">
        <v>8</v>
      </c>
      <c r="C232" s="6" t="s">
        <v>7</v>
      </c>
      <c r="D232" s="6">
        <v>1</v>
      </c>
      <c r="E232" s="8">
        <v>29.99</v>
      </c>
      <c r="F232" s="6" t="s">
        <v>94</v>
      </c>
      <c r="G232" s="12">
        <f t="shared" si="9"/>
        <v>29.99</v>
      </c>
      <c r="H232">
        <f t="shared" si="10"/>
        <v>10</v>
      </c>
      <c r="I232">
        <f t="shared" si="11"/>
        <v>3</v>
      </c>
      <c r="J232" s="10" cm="1">
        <f t="array" ref="J232">IFERROR(
IF(B232="Campanha Renovação - Móvel",
D232*INDEX($L$3:$N$13,MATCH(B232,$K$3:$K$13,0),I232),
G232*INDEX($L$3:$N$13,MATCH(B232,$K$3:$K$13,0),I232)
),
0)</f>
        <v>20</v>
      </c>
    </row>
    <row r="233" spans="1:10" x14ac:dyDescent="0.3">
      <c r="A233" s="7" t="s">
        <v>83</v>
      </c>
      <c r="B233" s="6" t="s">
        <v>8</v>
      </c>
      <c r="C233" s="6" t="s">
        <v>7</v>
      </c>
      <c r="D233" s="6">
        <v>1</v>
      </c>
      <c r="E233" s="8">
        <v>29.99</v>
      </c>
      <c r="F233" s="6" t="s">
        <v>94</v>
      </c>
      <c r="G233" s="12">
        <f t="shared" si="9"/>
        <v>29.99</v>
      </c>
      <c r="H233">
        <f t="shared" si="10"/>
        <v>10</v>
      </c>
      <c r="I233">
        <f t="shared" si="11"/>
        <v>3</v>
      </c>
      <c r="J233" s="10" cm="1">
        <f t="array" ref="J233">IFERROR(
IF(B233="Campanha Renovação - Móvel",
D233*INDEX($L$3:$N$13,MATCH(B233,$K$3:$K$13,0),I233),
G233*INDEX($L$3:$N$13,MATCH(B233,$K$3:$K$13,0),I233)
),
0)</f>
        <v>20</v>
      </c>
    </row>
    <row r="234" spans="1:10" x14ac:dyDescent="0.3">
      <c r="A234" s="7" t="s">
        <v>83</v>
      </c>
      <c r="B234" s="6" t="s">
        <v>8</v>
      </c>
      <c r="C234" s="6" t="s">
        <v>7</v>
      </c>
      <c r="D234" s="6">
        <v>1</v>
      </c>
      <c r="E234" s="8">
        <v>29.99</v>
      </c>
      <c r="F234" s="6" t="s">
        <v>94</v>
      </c>
      <c r="G234" s="12">
        <f t="shared" si="9"/>
        <v>29.99</v>
      </c>
      <c r="H234">
        <f t="shared" si="10"/>
        <v>10</v>
      </c>
      <c r="I234">
        <f t="shared" si="11"/>
        <v>3</v>
      </c>
      <c r="J234" s="10" cm="1">
        <f t="array" ref="J234">IFERROR(
IF(B234="Campanha Renovação - Móvel",
D234*INDEX($L$3:$N$13,MATCH(B234,$K$3:$K$13,0),I234),
G234*INDEX($L$3:$N$13,MATCH(B234,$K$3:$K$13,0),I234)
),
0)</f>
        <v>20</v>
      </c>
    </row>
    <row r="235" spans="1:10" x14ac:dyDescent="0.3">
      <c r="A235" s="7" t="s">
        <v>83</v>
      </c>
      <c r="B235" s="6" t="s">
        <v>8</v>
      </c>
      <c r="C235" s="6" t="s">
        <v>7</v>
      </c>
      <c r="D235" s="6">
        <v>1</v>
      </c>
      <c r="E235" s="8">
        <v>29.99</v>
      </c>
      <c r="F235" s="6" t="s">
        <v>94</v>
      </c>
      <c r="G235" s="12">
        <f t="shared" si="9"/>
        <v>29.99</v>
      </c>
      <c r="H235">
        <f t="shared" si="10"/>
        <v>10</v>
      </c>
      <c r="I235">
        <f t="shared" si="11"/>
        <v>3</v>
      </c>
      <c r="J235" s="10" cm="1">
        <f t="array" ref="J235">IFERROR(
IF(B235="Campanha Renovação - Móvel",
D235*INDEX($L$3:$N$13,MATCH(B235,$K$3:$K$13,0),I235),
G235*INDEX($L$3:$N$13,MATCH(B235,$K$3:$K$13,0),I235)
),
0)</f>
        <v>20</v>
      </c>
    </row>
    <row r="236" spans="1:10" x14ac:dyDescent="0.3">
      <c r="A236" s="7" t="s">
        <v>83</v>
      </c>
      <c r="B236" s="6" t="s">
        <v>8</v>
      </c>
      <c r="C236" s="6" t="s">
        <v>7</v>
      </c>
      <c r="D236" s="6">
        <v>1</v>
      </c>
      <c r="E236" s="8">
        <v>29.99</v>
      </c>
      <c r="F236" s="6" t="s">
        <v>94</v>
      </c>
      <c r="G236" s="12">
        <f t="shared" si="9"/>
        <v>29.99</v>
      </c>
      <c r="H236">
        <f t="shared" si="10"/>
        <v>10</v>
      </c>
      <c r="I236">
        <f t="shared" si="11"/>
        <v>3</v>
      </c>
      <c r="J236" s="10" cm="1">
        <f t="array" ref="J236">IFERROR(
IF(B236="Campanha Renovação - Móvel",
D236*INDEX($L$3:$N$13,MATCH(B236,$K$3:$K$13,0),I236),
G236*INDEX($L$3:$N$13,MATCH(B236,$K$3:$K$13,0),I236)
),
0)</f>
        <v>20</v>
      </c>
    </row>
    <row r="237" spans="1:10" x14ac:dyDescent="0.3">
      <c r="A237" s="7" t="s">
        <v>83</v>
      </c>
      <c r="B237" s="6" t="s">
        <v>8</v>
      </c>
      <c r="C237" s="6" t="s">
        <v>7</v>
      </c>
      <c r="D237" s="6">
        <v>1</v>
      </c>
      <c r="E237" s="8">
        <v>29.99</v>
      </c>
      <c r="F237" s="6" t="s">
        <v>94</v>
      </c>
      <c r="G237" s="12">
        <f t="shared" si="9"/>
        <v>29.99</v>
      </c>
      <c r="H237">
        <f t="shared" si="10"/>
        <v>10</v>
      </c>
      <c r="I237">
        <f t="shared" si="11"/>
        <v>3</v>
      </c>
      <c r="J237" s="10" cm="1">
        <f t="array" ref="J237">IFERROR(
IF(B237="Campanha Renovação - Móvel",
D237*INDEX($L$3:$N$13,MATCH(B237,$K$3:$K$13,0),I237),
G237*INDEX($L$3:$N$13,MATCH(B237,$K$3:$K$13,0),I237)
),
0)</f>
        <v>20</v>
      </c>
    </row>
    <row r="238" spans="1:10" x14ac:dyDescent="0.3">
      <c r="A238" s="7" t="s">
        <v>83</v>
      </c>
      <c r="B238" s="6" t="s">
        <v>8</v>
      </c>
      <c r="C238" s="6" t="s">
        <v>14</v>
      </c>
      <c r="D238" s="6">
        <v>1</v>
      </c>
      <c r="E238" s="8">
        <v>59.99</v>
      </c>
      <c r="F238" s="6" t="s">
        <v>94</v>
      </c>
      <c r="G238" s="12">
        <f t="shared" si="9"/>
        <v>59.99</v>
      </c>
      <c r="H238">
        <f t="shared" si="10"/>
        <v>10</v>
      </c>
      <c r="I238">
        <f t="shared" si="11"/>
        <v>3</v>
      </c>
      <c r="J238" s="10" cm="1">
        <f t="array" ref="J238">IFERROR(
IF(B238="Campanha Renovação - Móvel",
D238*INDEX($L$3:$N$13,MATCH(B238,$K$3:$K$13,0),I238),
G238*INDEX($L$3:$N$13,MATCH(B238,$K$3:$K$13,0),I238)
),
0)</f>
        <v>20</v>
      </c>
    </row>
    <row r="239" spans="1:10" x14ac:dyDescent="0.3">
      <c r="A239" s="7" t="s">
        <v>83</v>
      </c>
      <c r="B239" s="6" t="s">
        <v>8</v>
      </c>
      <c r="C239" s="6" t="s">
        <v>9</v>
      </c>
      <c r="D239" s="6">
        <v>1</v>
      </c>
      <c r="E239" s="8">
        <v>99.99</v>
      </c>
      <c r="F239" s="6" t="s">
        <v>94</v>
      </c>
      <c r="G239" s="12">
        <f t="shared" si="9"/>
        <v>99.99</v>
      </c>
      <c r="H239">
        <f t="shared" si="10"/>
        <v>10</v>
      </c>
      <c r="I239">
        <f t="shared" si="11"/>
        <v>3</v>
      </c>
      <c r="J239" s="10" cm="1">
        <f t="array" ref="J239">IFERROR(
IF(B239="Campanha Renovação - Móvel",
D239*INDEX($L$3:$N$13,MATCH(B239,$K$3:$K$13,0),I239),
G239*INDEX($L$3:$N$13,MATCH(B239,$K$3:$K$13,0),I239)
),
0)</f>
        <v>20</v>
      </c>
    </row>
    <row r="240" spans="1:10" x14ac:dyDescent="0.3">
      <c r="A240" s="7" t="s">
        <v>83</v>
      </c>
      <c r="B240" s="6" t="s">
        <v>8</v>
      </c>
      <c r="C240" s="6" t="s">
        <v>9</v>
      </c>
      <c r="D240" s="6">
        <v>1</v>
      </c>
      <c r="E240" s="8">
        <v>99.99</v>
      </c>
      <c r="F240" s="6" t="s">
        <v>94</v>
      </c>
      <c r="G240" s="12">
        <f t="shared" si="9"/>
        <v>99.99</v>
      </c>
      <c r="H240">
        <f t="shared" si="10"/>
        <v>10</v>
      </c>
      <c r="I240">
        <f t="shared" si="11"/>
        <v>3</v>
      </c>
      <c r="J240" s="10" cm="1">
        <f t="array" ref="J240">IFERROR(
IF(B240="Campanha Renovação - Móvel",
D240*INDEX($L$3:$N$13,MATCH(B240,$K$3:$K$13,0),I240),
G240*INDEX($L$3:$N$13,MATCH(B240,$K$3:$K$13,0),I240)
),
0)</f>
        <v>20</v>
      </c>
    </row>
    <row r="241" spans="1:10" x14ac:dyDescent="0.3">
      <c r="A241" s="7" t="s">
        <v>84</v>
      </c>
      <c r="B241" s="6" t="s">
        <v>10</v>
      </c>
      <c r="C241" s="6" t="s">
        <v>9</v>
      </c>
      <c r="D241" s="6">
        <v>1</v>
      </c>
      <c r="E241" s="8">
        <v>99.99</v>
      </c>
      <c r="F241" s="6" t="s">
        <v>94</v>
      </c>
      <c r="G241" s="12">
        <f t="shared" si="9"/>
        <v>99.99</v>
      </c>
      <c r="H241">
        <f t="shared" si="10"/>
        <v>99.99</v>
      </c>
      <c r="I241">
        <f t="shared" si="11"/>
        <v>3</v>
      </c>
      <c r="J241" s="10" cm="1">
        <f t="array" ref="J241">IFERROR(
IF(B241="Campanha Renovação - Móvel",
D241*INDEX($L$3:$N$13,MATCH(B241,$K$3:$K$13,0),I241),
G241*INDEX($L$3:$N$13,MATCH(B241,$K$3:$K$13,0),I241)
),
0)</f>
        <v>149.98499999999999</v>
      </c>
    </row>
    <row r="242" spans="1:10" x14ac:dyDescent="0.3">
      <c r="A242" s="7" t="s">
        <v>84</v>
      </c>
      <c r="B242" s="6" t="s">
        <v>8</v>
      </c>
      <c r="C242" s="6" t="s">
        <v>7</v>
      </c>
      <c r="D242" s="6">
        <v>1</v>
      </c>
      <c r="E242" s="8">
        <v>29.99</v>
      </c>
      <c r="F242" s="6" t="s">
        <v>94</v>
      </c>
      <c r="G242" s="12">
        <f t="shared" si="9"/>
        <v>29.99</v>
      </c>
      <c r="H242">
        <f t="shared" si="10"/>
        <v>10</v>
      </c>
      <c r="I242">
        <f t="shared" si="11"/>
        <v>3</v>
      </c>
      <c r="J242" s="10" cm="1">
        <f t="array" ref="J242">IFERROR(
IF(B242="Campanha Renovação - Móvel",
D242*INDEX($L$3:$N$13,MATCH(B242,$K$3:$K$13,0),I242),
G242*INDEX($L$3:$N$13,MATCH(B242,$K$3:$K$13,0),I242)
),
0)</f>
        <v>20</v>
      </c>
    </row>
    <row r="243" spans="1:10" x14ac:dyDescent="0.3">
      <c r="A243" s="7" t="s">
        <v>84</v>
      </c>
      <c r="B243" s="6" t="s">
        <v>8</v>
      </c>
      <c r="C243" s="6" t="s">
        <v>7</v>
      </c>
      <c r="D243" s="6">
        <v>1</v>
      </c>
      <c r="E243" s="8">
        <v>29.99</v>
      </c>
      <c r="F243" s="6" t="s">
        <v>94</v>
      </c>
      <c r="G243" s="12">
        <f t="shared" si="9"/>
        <v>29.99</v>
      </c>
      <c r="H243">
        <f t="shared" si="10"/>
        <v>10</v>
      </c>
      <c r="I243">
        <f t="shared" si="11"/>
        <v>3</v>
      </c>
      <c r="J243" s="10" cm="1">
        <f t="array" ref="J243">IFERROR(
IF(B243="Campanha Renovação - Móvel",
D243*INDEX($L$3:$N$13,MATCH(B243,$K$3:$K$13,0),I243),
G243*INDEX($L$3:$N$13,MATCH(B243,$K$3:$K$13,0),I243)
),
0)</f>
        <v>20</v>
      </c>
    </row>
    <row r="244" spans="1:10" x14ac:dyDescent="0.3">
      <c r="A244" s="7" t="s">
        <v>84</v>
      </c>
      <c r="B244" s="6" t="s">
        <v>8</v>
      </c>
      <c r="C244" s="6" t="s">
        <v>12</v>
      </c>
      <c r="D244" s="6">
        <v>1</v>
      </c>
      <c r="E244" s="8">
        <v>49.99</v>
      </c>
      <c r="F244" s="6" t="s">
        <v>94</v>
      </c>
      <c r="G244" s="12">
        <f t="shared" si="9"/>
        <v>49.99</v>
      </c>
      <c r="H244">
        <f t="shared" si="10"/>
        <v>10</v>
      </c>
      <c r="I244">
        <f t="shared" si="11"/>
        <v>3</v>
      </c>
      <c r="J244" s="10" cm="1">
        <f t="array" ref="J244">IFERROR(
IF(B244="Campanha Renovação - Móvel",
D244*INDEX($L$3:$N$13,MATCH(B244,$K$3:$K$13,0),I244),
G244*INDEX($L$3:$N$13,MATCH(B244,$K$3:$K$13,0),I244)
),
0)</f>
        <v>20</v>
      </c>
    </row>
    <row r="245" spans="1:10" x14ac:dyDescent="0.3">
      <c r="A245" s="7" t="s">
        <v>84</v>
      </c>
      <c r="B245" s="6" t="s">
        <v>8</v>
      </c>
      <c r="C245" s="6" t="s">
        <v>7</v>
      </c>
      <c r="D245" s="6">
        <v>1</v>
      </c>
      <c r="E245" s="8">
        <v>29.99</v>
      </c>
      <c r="F245" s="6" t="s">
        <v>94</v>
      </c>
      <c r="G245" s="12">
        <f t="shared" si="9"/>
        <v>29.99</v>
      </c>
      <c r="H245">
        <f t="shared" si="10"/>
        <v>10</v>
      </c>
      <c r="I245">
        <f t="shared" si="11"/>
        <v>3</v>
      </c>
      <c r="J245" s="10" cm="1">
        <f t="array" ref="J245">IFERROR(
IF(B245="Campanha Renovação - Móvel",
D245*INDEX($L$3:$N$13,MATCH(B245,$K$3:$K$13,0),I245),
G245*INDEX($L$3:$N$13,MATCH(B245,$K$3:$K$13,0),I245)
),
0)</f>
        <v>20</v>
      </c>
    </row>
    <row r="246" spans="1:10" x14ac:dyDescent="0.3">
      <c r="A246" s="7" t="s">
        <v>84</v>
      </c>
      <c r="B246" s="6" t="s">
        <v>8</v>
      </c>
      <c r="C246" s="6" t="s">
        <v>7</v>
      </c>
      <c r="D246" s="6">
        <v>1</v>
      </c>
      <c r="E246" s="8">
        <v>29.99</v>
      </c>
      <c r="F246" s="6" t="s">
        <v>94</v>
      </c>
      <c r="G246" s="12">
        <f t="shared" si="9"/>
        <v>29.99</v>
      </c>
      <c r="H246">
        <f t="shared" si="10"/>
        <v>10</v>
      </c>
      <c r="I246">
        <f t="shared" si="11"/>
        <v>3</v>
      </c>
      <c r="J246" s="10" cm="1">
        <f t="array" ref="J246">IFERROR(
IF(B246="Campanha Renovação - Móvel",
D246*INDEX($L$3:$N$13,MATCH(B246,$K$3:$K$13,0),I246),
G246*INDEX($L$3:$N$13,MATCH(B246,$K$3:$K$13,0),I246)
),
0)</f>
        <v>20</v>
      </c>
    </row>
    <row r="247" spans="1:10" x14ac:dyDescent="0.3">
      <c r="A247" s="7" t="s">
        <v>85</v>
      </c>
      <c r="B247" s="6" t="s">
        <v>10</v>
      </c>
      <c r="C247" s="6" t="s">
        <v>9</v>
      </c>
      <c r="D247" s="6">
        <v>1</v>
      </c>
      <c r="E247" s="8">
        <v>99.99</v>
      </c>
      <c r="F247" s="6" t="s">
        <v>94</v>
      </c>
      <c r="G247" s="12">
        <f t="shared" si="9"/>
        <v>99.99</v>
      </c>
      <c r="H247">
        <f t="shared" si="10"/>
        <v>99.99</v>
      </c>
      <c r="I247">
        <f t="shared" si="11"/>
        <v>3</v>
      </c>
      <c r="J247" s="10" cm="1">
        <f t="array" ref="J247">IFERROR(
IF(B247="Campanha Renovação - Móvel",
D247*INDEX($L$3:$N$13,MATCH(B247,$K$3:$K$13,0),I247),
G247*INDEX($L$3:$N$13,MATCH(B247,$K$3:$K$13,0),I247)
),
0)</f>
        <v>149.98499999999999</v>
      </c>
    </row>
    <row r="248" spans="1:10" x14ac:dyDescent="0.3">
      <c r="A248" s="7" t="s">
        <v>85</v>
      </c>
      <c r="B248" s="6" t="s">
        <v>8</v>
      </c>
      <c r="C248" s="6" t="s">
        <v>7</v>
      </c>
      <c r="D248" s="6">
        <v>1</v>
      </c>
      <c r="E248" s="8">
        <v>29.99</v>
      </c>
      <c r="F248" s="6" t="s">
        <v>94</v>
      </c>
      <c r="G248" s="12">
        <f t="shared" si="9"/>
        <v>29.99</v>
      </c>
      <c r="H248">
        <f t="shared" si="10"/>
        <v>10</v>
      </c>
      <c r="I248">
        <f t="shared" si="11"/>
        <v>3</v>
      </c>
      <c r="J248" s="10" cm="1">
        <f t="array" ref="J248">IFERROR(
IF(B248="Campanha Renovação - Móvel",
D248*INDEX($L$3:$N$13,MATCH(B248,$K$3:$K$13,0),I248),
G248*INDEX($L$3:$N$13,MATCH(B248,$K$3:$K$13,0),I248)
),
0)</f>
        <v>20</v>
      </c>
    </row>
    <row r="249" spans="1:10" x14ac:dyDescent="0.3">
      <c r="A249" s="7" t="s">
        <v>85</v>
      </c>
      <c r="B249" s="6" t="s">
        <v>8</v>
      </c>
      <c r="C249" s="6" t="s">
        <v>7</v>
      </c>
      <c r="D249" s="6">
        <v>1</v>
      </c>
      <c r="E249" s="8">
        <v>29.99</v>
      </c>
      <c r="F249" s="6" t="s">
        <v>94</v>
      </c>
      <c r="G249" s="12">
        <f t="shared" si="9"/>
        <v>29.99</v>
      </c>
      <c r="H249">
        <f t="shared" si="10"/>
        <v>10</v>
      </c>
      <c r="I249">
        <f t="shared" si="11"/>
        <v>3</v>
      </c>
      <c r="J249" s="10" cm="1">
        <f t="array" ref="J249">IFERROR(
IF(B249="Campanha Renovação - Móvel",
D249*INDEX($L$3:$N$13,MATCH(B249,$K$3:$K$13,0),I249),
G249*INDEX($L$3:$N$13,MATCH(B249,$K$3:$K$13,0),I249)
),
0)</f>
        <v>20</v>
      </c>
    </row>
    <row r="250" spans="1:10" x14ac:dyDescent="0.3">
      <c r="A250" s="7" t="s">
        <v>85</v>
      </c>
      <c r="B250" s="6" t="s">
        <v>8</v>
      </c>
      <c r="C250" s="6" t="s">
        <v>7</v>
      </c>
      <c r="D250" s="6">
        <v>1</v>
      </c>
      <c r="E250" s="8">
        <v>29.99</v>
      </c>
      <c r="F250" s="6" t="s">
        <v>94</v>
      </c>
      <c r="G250" s="12">
        <f t="shared" si="9"/>
        <v>29.99</v>
      </c>
      <c r="H250">
        <f t="shared" si="10"/>
        <v>10</v>
      </c>
      <c r="I250">
        <f t="shared" si="11"/>
        <v>3</v>
      </c>
      <c r="J250" s="10" cm="1">
        <f t="array" ref="J250">IFERROR(
IF(B250="Campanha Renovação - Móvel",
D250*INDEX($L$3:$N$13,MATCH(B250,$K$3:$K$13,0),I250),
G250*INDEX($L$3:$N$13,MATCH(B250,$K$3:$K$13,0),I250)
),
0)</f>
        <v>20</v>
      </c>
    </row>
    <row r="251" spans="1:10" x14ac:dyDescent="0.3">
      <c r="A251" s="7" t="s">
        <v>80</v>
      </c>
      <c r="B251" s="6" t="s">
        <v>8</v>
      </c>
      <c r="C251" s="6" t="s">
        <v>7</v>
      </c>
      <c r="D251" s="6">
        <v>1</v>
      </c>
      <c r="E251" s="8">
        <v>29.99</v>
      </c>
      <c r="F251" s="6" t="s">
        <v>94</v>
      </c>
      <c r="G251" s="12">
        <f t="shared" si="9"/>
        <v>29.99</v>
      </c>
      <c r="H251">
        <f t="shared" si="10"/>
        <v>10</v>
      </c>
      <c r="I251">
        <f t="shared" si="11"/>
        <v>3</v>
      </c>
      <c r="J251" s="10" cm="1">
        <f t="array" ref="J251">IFERROR(
IF(B251="Campanha Renovação - Móvel",
D251*INDEX($L$3:$N$13,MATCH(B251,$K$3:$K$13,0),I251),
G251*INDEX($L$3:$N$13,MATCH(B251,$K$3:$K$13,0),I251)
),
0)</f>
        <v>20</v>
      </c>
    </row>
    <row r="252" spans="1:10" x14ac:dyDescent="0.3">
      <c r="A252" s="7" t="s">
        <v>80</v>
      </c>
      <c r="B252" s="6" t="s">
        <v>8</v>
      </c>
      <c r="C252" s="6" t="s">
        <v>7</v>
      </c>
      <c r="D252" s="6">
        <v>1</v>
      </c>
      <c r="E252" s="8">
        <v>29.99</v>
      </c>
      <c r="F252" s="6" t="s">
        <v>94</v>
      </c>
      <c r="G252" s="12">
        <f t="shared" si="9"/>
        <v>29.99</v>
      </c>
      <c r="H252">
        <f t="shared" si="10"/>
        <v>10</v>
      </c>
      <c r="I252">
        <f t="shared" si="11"/>
        <v>3</v>
      </c>
      <c r="J252" s="10" cm="1">
        <f t="array" ref="J252">IFERROR(
IF(B252="Campanha Renovação - Móvel",
D252*INDEX($L$3:$N$13,MATCH(B252,$K$3:$K$13,0),I252),
G252*INDEX($L$3:$N$13,MATCH(B252,$K$3:$K$13,0),I252)
),
0)</f>
        <v>20</v>
      </c>
    </row>
    <row r="253" spans="1:10" x14ac:dyDescent="0.3">
      <c r="A253" s="7" t="s">
        <v>80</v>
      </c>
      <c r="B253" s="6" t="s">
        <v>8</v>
      </c>
      <c r="C253" s="6" t="s">
        <v>7</v>
      </c>
      <c r="D253" s="6">
        <v>1</v>
      </c>
      <c r="E253" s="8">
        <v>29.99</v>
      </c>
      <c r="F253" s="6" t="s">
        <v>94</v>
      </c>
      <c r="G253" s="12">
        <f t="shared" si="9"/>
        <v>29.99</v>
      </c>
      <c r="H253">
        <f t="shared" si="10"/>
        <v>10</v>
      </c>
      <c r="I253">
        <f t="shared" si="11"/>
        <v>3</v>
      </c>
      <c r="J253" s="10" cm="1">
        <f t="array" ref="J253">IFERROR(
IF(B253="Campanha Renovação - Móvel",
D253*INDEX($L$3:$N$13,MATCH(B253,$K$3:$K$13,0),I253),
G253*INDEX($L$3:$N$13,MATCH(B253,$K$3:$K$13,0),I253)
),
0)</f>
        <v>20</v>
      </c>
    </row>
    <row r="254" spans="1:10" x14ac:dyDescent="0.3">
      <c r="A254" s="7" t="s">
        <v>80</v>
      </c>
      <c r="B254" s="6" t="s">
        <v>8</v>
      </c>
      <c r="C254" s="6" t="s">
        <v>7</v>
      </c>
      <c r="D254" s="6">
        <v>1</v>
      </c>
      <c r="E254" s="8">
        <v>29.99</v>
      </c>
      <c r="F254" s="6" t="s">
        <v>94</v>
      </c>
      <c r="G254" s="12">
        <f t="shared" si="9"/>
        <v>29.99</v>
      </c>
      <c r="H254">
        <f t="shared" si="10"/>
        <v>10</v>
      </c>
      <c r="I254">
        <f t="shared" si="11"/>
        <v>3</v>
      </c>
      <c r="J254" s="10" cm="1">
        <f t="array" ref="J254">IFERROR(
IF(B254="Campanha Renovação - Móvel",
D254*INDEX($L$3:$N$13,MATCH(B254,$K$3:$K$13,0),I254),
G254*INDEX($L$3:$N$13,MATCH(B254,$K$3:$K$13,0),I254)
),
0)</f>
        <v>20</v>
      </c>
    </row>
    <row r="255" spans="1:10" x14ac:dyDescent="0.3">
      <c r="A255" s="7" t="s">
        <v>81</v>
      </c>
      <c r="B255" s="6" t="s">
        <v>8</v>
      </c>
      <c r="C255" s="6" t="s">
        <v>7</v>
      </c>
      <c r="D255" s="6">
        <v>1</v>
      </c>
      <c r="E255" s="8">
        <v>29.99</v>
      </c>
      <c r="F255" s="6" t="s">
        <v>94</v>
      </c>
      <c r="G255" s="12">
        <f t="shared" si="9"/>
        <v>29.99</v>
      </c>
      <c r="H255">
        <f t="shared" si="10"/>
        <v>10</v>
      </c>
      <c r="I255">
        <f t="shared" si="11"/>
        <v>3</v>
      </c>
      <c r="J255" s="10" cm="1">
        <f t="array" ref="J255">IFERROR(
IF(B255="Campanha Renovação - Móvel",
D255*INDEX($L$3:$N$13,MATCH(B255,$K$3:$K$13,0),I255),
G255*INDEX($L$3:$N$13,MATCH(B255,$K$3:$K$13,0),I255)
),
0)</f>
        <v>20</v>
      </c>
    </row>
    <row r="256" spans="1:10" x14ac:dyDescent="0.3">
      <c r="A256" s="7" t="s">
        <v>81</v>
      </c>
      <c r="B256" s="6" t="s">
        <v>8</v>
      </c>
      <c r="C256" s="6" t="s">
        <v>7</v>
      </c>
      <c r="D256" s="6">
        <v>1</v>
      </c>
      <c r="E256" s="8">
        <v>29.99</v>
      </c>
      <c r="F256" s="6" t="s">
        <v>94</v>
      </c>
      <c r="G256" s="12">
        <f t="shared" si="9"/>
        <v>29.99</v>
      </c>
      <c r="H256">
        <f t="shared" si="10"/>
        <v>10</v>
      </c>
      <c r="I256">
        <f t="shared" si="11"/>
        <v>3</v>
      </c>
      <c r="J256" s="10" cm="1">
        <f t="array" ref="J256">IFERROR(
IF(B256="Campanha Renovação - Móvel",
D256*INDEX($L$3:$N$13,MATCH(B256,$K$3:$K$13,0),I256),
G256*INDEX($L$3:$N$13,MATCH(B256,$K$3:$K$13,0),I256)
),
0)</f>
        <v>20</v>
      </c>
    </row>
    <row r="257" spans="1:10" x14ac:dyDescent="0.3">
      <c r="A257" s="7" t="s">
        <v>81</v>
      </c>
      <c r="B257" s="6" t="s">
        <v>8</v>
      </c>
      <c r="C257" s="6" t="s">
        <v>7</v>
      </c>
      <c r="D257" s="6">
        <v>1</v>
      </c>
      <c r="E257" s="8">
        <v>29.99</v>
      </c>
      <c r="F257" s="6" t="s">
        <v>94</v>
      </c>
      <c r="G257" s="12">
        <f t="shared" si="9"/>
        <v>29.99</v>
      </c>
      <c r="H257">
        <f t="shared" si="10"/>
        <v>10</v>
      </c>
      <c r="I257">
        <f t="shared" si="11"/>
        <v>3</v>
      </c>
      <c r="J257" s="10" cm="1">
        <f t="array" ref="J257">IFERROR(
IF(B257="Campanha Renovação - Móvel",
D257*INDEX($L$3:$N$13,MATCH(B257,$K$3:$K$13,0),I257),
G257*INDEX($L$3:$N$13,MATCH(B257,$K$3:$K$13,0),I257)
),
0)</f>
        <v>20</v>
      </c>
    </row>
    <row r="258" spans="1:10" x14ac:dyDescent="0.3">
      <c r="A258" s="7" t="s">
        <v>86</v>
      </c>
      <c r="B258" s="6" t="s">
        <v>10</v>
      </c>
      <c r="C258" s="6" t="s">
        <v>15</v>
      </c>
      <c r="D258" s="6">
        <v>1</v>
      </c>
      <c r="E258" s="8">
        <v>54.99</v>
      </c>
      <c r="F258" s="6" t="s">
        <v>94</v>
      </c>
      <c r="G258" s="12">
        <f t="shared" si="9"/>
        <v>54.99</v>
      </c>
      <c r="H258">
        <f t="shared" si="10"/>
        <v>54.99</v>
      </c>
      <c r="I258">
        <f t="shared" si="11"/>
        <v>3</v>
      </c>
      <c r="J258" s="10" cm="1">
        <f t="array" ref="J258">IFERROR(
IF(B258="Campanha Renovação - Móvel",
D258*INDEX($L$3:$N$13,MATCH(B258,$K$3:$K$13,0),I258),
G258*INDEX($L$3:$N$13,MATCH(B258,$K$3:$K$13,0),I258)
),
0)</f>
        <v>82.484999999999999</v>
      </c>
    </row>
    <row r="259" spans="1:10" x14ac:dyDescent="0.3">
      <c r="A259" s="7" t="s">
        <v>86</v>
      </c>
      <c r="B259" s="6" t="s">
        <v>8</v>
      </c>
      <c r="C259" s="6" t="s">
        <v>7</v>
      </c>
      <c r="D259" s="6">
        <v>1</v>
      </c>
      <c r="E259" s="8">
        <v>29.99</v>
      </c>
      <c r="F259" s="6" t="s">
        <v>94</v>
      </c>
      <c r="G259" s="12">
        <f t="shared" ref="G259:G272" si="12">D259*E259</f>
        <v>29.99</v>
      </c>
      <c r="H259">
        <f t="shared" ref="H259:H272" si="13">IF(B259="Básica - Campanha Renovação",0,IF(B259="Campanha Renovação - Móvel",10*D259,IF(B259="Básica PF",G259*0.5,G259)))</f>
        <v>10</v>
      </c>
      <c r="I259">
        <f t="shared" ref="I259:I272" si="14">VLOOKUP(F259,$R$4:$T$6,3,FALSE)</f>
        <v>3</v>
      </c>
      <c r="J259" s="10" cm="1">
        <f t="array" ref="J259">IFERROR(
IF(B259="Campanha Renovação - Móvel",
D259*INDEX($L$3:$N$13,MATCH(B259,$K$3:$K$13,0),I259),
G259*INDEX($L$3:$N$13,MATCH(B259,$K$3:$K$13,0),I259)
),
0)</f>
        <v>20</v>
      </c>
    </row>
    <row r="260" spans="1:10" x14ac:dyDescent="0.3">
      <c r="A260" s="7" t="s">
        <v>86</v>
      </c>
      <c r="B260" s="6" t="s">
        <v>8</v>
      </c>
      <c r="C260" s="6" t="s">
        <v>7</v>
      </c>
      <c r="D260" s="6">
        <v>1</v>
      </c>
      <c r="E260" s="8">
        <v>29.99</v>
      </c>
      <c r="F260" s="6" t="s">
        <v>94</v>
      </c>
      <c r="G260" s="12">
        <f t="shared" si="12"/>
        <v>29.99</v>
      </c>
      <c r="H260">
        <f t="shared" si="13"/>
        <v>10</v>
      </c>
      <c r="I260">
        <f t="shared" si="14"/>
        <v>3</v>
      </c>
      <c r="J260" s="10" cm="1">
        <f t="array" ref="J260">IFERROR(
IF(B260="Campanha Renovação - Móvel",
D260*INDEX($L$3:$N$13,MATCH(B260,$K$3:$K$13,0),I260),
G260*INDEX($L$3:$N$13,MATCH(B260,$K$3:$K$13,0),I260)
),
0)</f>
        <v>20</v>
      </c>
    </row>
    <row r="261" spans="1:10" x14ac:dyDescent="0.3">
      <c r="A261" s="7" t="s">
        <v>87</v>
      </c>
      <c r="B261" s="6" t="s">
        <v>10</v>
      </c>
      <c r="C261" s="6" t="s">
        <v>9</v>
      </c>
      <c r="D261" s="6">
        <v>1</v>
      </c>
      <c r="E261" s="8">
        <v>99.99</v>
      </c>
      <c r="F261" s="6" t="s">
        <v>94</v>
      </c>
      <c r="G261" s="12">
        <f t="shared" si="12"/>
        <v>99.99</v>
      </c>
      <c r="H261">
        <f t="shared" si="13"/>
        <v>99.99</v>
      </c>
      <c r="I261">
        <f t="shared" si="14"/>
        <v>3</v>
      </c>
      <c r="J261" s="10" cm="1">
        <f t="array" ref="J261">IFERROR(
IF(B261="Campanha Renovação - Móvel",
D261*INDEX($L$3:$N$13,MATCH(B261,$K$3:$K$13,0),I261),
G261*INDEX($L$3:$N$13,MATCH(B261,$K$3:$K$13,0),I261)
),
0)</f>
        <v>149.98499999999999</v>
      </c>
    </row>
    <row r="262" spans="1:10" x14ac:dyDescent="0.3">
      <c r="A262" s="7" t="s">
        <v>87</v>
      </c>
      <c r="B262" s="6" t="s">
        <v>8</v>
      </c>
      <c r="C262" s="6" t="s">
        <v>7</v>
      </c>
      <c r="D262" s="6">
        <v>1</v>
      </c>
      <c r="E262" s="8">
        <v>29.99</v>
      </c>
      <c r="F262" s="6" t="s">
        <v>94</v>
      </c>
      <c r="G262" s="12">
        <f t="shared" si="12"/>
        <v>29.99</v>
      </c>
      <c r="H262">
        <f t="shared" si="13"/>
        <v>10</v>
      </c>
      <c r="I262">
        <f t="shared" si="14"/>
        <v>3</v>
      </c>
      <c r="J262" s="10" cm="1">
        <f t="array" ref="J262">IFERROR(
IF(B262="Campanha Renovação - Móvel",
D262*INDEX($L$3:$N$13,MATCH(B262,$K$3:$K$13,0),I262),
G262*INDEX($L$3:$N$13,MATCH(B262,$K$3:$K$13,0),I262)
),
0)</f>
        <v>20</v>
      </c>
    </row>
    <row r="263" spans="1:10" x14ac:dyDescent="0.3">
      <c r="A263" s="7" t="s">
        <v>87</v>
      </c>
      <c r="B263" s="6" t="s">
        <v>8</v>
      </c>
      <c r="C263" s="6" t="s">
        <v>7</v>
      </c>
      <c r="D263" s="6">
        <v>1</v>
      </c>
      <c r="E263" s="8">
        <v>29.99</v>
      </c>
      <c r="F263" s="6" t="s">
        <v>94</v>
      </c>
      <c r="G263" s="12">
        <f t="shared" si="12"/>
        <v>29.99</v>
      </c>
      <c r="H263">
        <f t="shared" si="13"/>
        <v>10</v>
      </c>
      <c r="I263">
        <f t="shared" si="14"/>
        <v>3</v>
      </c>
      <c r="J263" s="10" cm="1">
        <f t="array" ref="J263">IFERROR(
IF(B263="Campanha Renovação - Móvel",
D263*INDEX($L$3:$N$13,MATCH(B263,$K$3:$K$13,0),I263),
G263*INDEX($L$3:$N$13,MATCH(B263,$K$3:$K$13,0),I263)
),
0)</f>
        <v>20</v>
      </c>
    </row>
    <row r="264" spans="1:10" x14ac:dyDescent="0.3">
      <c r="A264" s="7" t="s">
        <v>87</v>
      </c>
      <c r="B264" s="6" t="s">
        <v>8</v>
      </c>
      <c r="C264" s="6" t="s">
        <v>7</v>
      </c>
      <c r="D264" s="6">
        <v>1</v>
      </c>
      <c r="E264" s="8">
        <v>29.99</v>
      </c>
      <c r="F264" s="6" t="s">
        <v>94</v>
      </c>
      <c r="G264" s="12">
        <f t="shared" si="12"/>
        <v>29.99</v>
      </c>
      <c r="H264">
        <f t="shared" si="13"/>
        <v>10</v>
      </c>
      <c r="I264">
        <f t="shared" si="14"/>
        <v>3</v>
      </c>
      <c r="J264" s="10" cm="1">
        <f t="array" ref="J264">IFERROR(
IF(B264="Campanha Renovação - Móvel",
D264*INDEX($L$3:$N$13,MATCH(B264,$K$3:$K$13,0),I264),
G264*INDEX($L$3:$N$13,MATCH(B264,$K$3:$K$13,0),I264)
),
0)</f>
        <v>20</v>
      </c>
    </row>
    <row r="265" spans="1:10" x14ac:dyDescent="0.3">
      <c r="A265" s="7" t="s">
        <v>77</v>
      </c>
      <c r="B265" s="6" t="s">
        <v>36</v>
      </c>
      <c r="C265" s="6" t="s">
        <v>35</v>
      </c>
      <c r="D265" s="6">
        <v>1</v>
      </c>
      <c r="E265" s="8">
        <v>500</v>
      </c>
      <c r="F265" s="6" t="s">
        <v>94</v>
      </c>
      <c r="G265" s="12">
        <f t="shared" si="12"/>
        <v>500</v>
      </c>
      <c r="H265">
        <f t="shared" si="13"/>
        <v>500</v>
      </c>
      <c r="I265">
        <f t="shared" si="14"/>
        <v>3</v>
      </c>
      <c r="J265" s="10" cm="1">
        <f t="array" ref="J265">IFERROR(
IF(B265="Campanha Renovação - Móvel",
D265*INDEX($L$3:$N$13,MATCH(B265,$K$3:$K$13,0),I265),
G265*INDEX($L$3:$N$13,MATCH(B265,$K$3:$K$13,0),I265)
),
0)</f>
        <v>750</v>
      </c>
    </row>
    <row r="266" spans="1:10" x14ac:dyDescent="0.3">
      <c r="A266" s="7" t="s">
        <v>88</v>
      </c>
      <c r="B266" s="6" t="s">
        <v>38</v>
      </c>
      <c r="C266" s="6" t="s">
        <v>37</v>
      </c>
      <c r="D266" s="6">
        <v>1</v>
      </c>
      <c r="E266" s="8">
        <v>200</v>
      </c>
      <c r="F266" s="6" t="s">
        <v>94</v>
      </c>
      <c r="G266" s="12">
        <f t="shared" si="12"/>
        <v>200</v>
      </c>
      <c r="H266">
        <f t="shared" si="13"/>
        <v>200</v>
      </c>
      <c r="I266">
        <f t="shared" si="14"/>
        <v>3</v>
      </c>
      <c r="J266" s="10" cm="1">
        <f t="array" ref="J266">IFERROR(
IF(B266="Campanha Renovação - Móvel",
D266*INDEX($L$3:$N$13,MATCH(B266,$K$3:$K$13,0),I266),
G266*INDEX($L$3:$N$13,MATCH(B266,$K$3:$K$13,0),I266)
),
0)</f>
        <v>200</v>
      </c>
    </row>
    <row r="267" spans="1:10" x14ac:dyDescent="0.3">
      <c r="A267" s="7" t="s">
        <v>89</v>
      </c>
      <c r="B267" s="6" t="s">
        <v>16</v>
      </c>
      <c r="C267" s="6"/>
      <c r="D267" s="6">
        <v>1</v>
      </c>
      <c r="E267" s="8">
        <v>10</v>
      </c>
      <c r="F267" s="6" t="s">
        <v>94</v>
      </c>
      <c r="G267" s="12">
        <f t="shared" si="12"/>
        <v>10</v>
      </c>
      <c r="H267">
        <f t="shared" si="13"/>
        <v>10</v>
      </c>
      <c r="I267">
        <f t="shared" si="14"/>
        <v>3</v>
      </c>
      <c r="J267" s="10" cm="1">
        <f t="array" ref="J267">IFERROR(
IF(B267="Campanha Renovação - Móvel",
D267*INDEX($L$3:$N$13,MATCH(B267,$K$3:$K$13,0),I267),
G267*INDEX($L$3:$N$13,MATCH(B267,$K$3:$K$13,0),I267)
),
0)</f>
        <v>10</v>
      </c>
    </row>
    <row r="268" spans="1:10" x14ac:dyDescent="0.3">
      <c r="A268" s="7" t="s">
        <v>88</v>
      </c>
      <c r="B268" s="6" t="s">
        <v>20</v>
      </c>
      <c r="C268" s="6" t="s">
        <v>34</v>
      </c>
      <c r="D268" s="6">
        <v>1</v>
      </c>
      <c r="E268" s="8">
        <v>63.99</v>
      </c>
      <c r="F268" s="6" t="s">
        <v>94</v>
      </c>
      <c r="G268" s="12">
        <f t="shared" si="12"/>
        <v>63.99</v>
      </c>
      <c r="H268">
        <f t="shared" si="13"/>
        <v>63.99</v>
      </c>
      <c r="I268">
        <f t="shared" si="14"/>
        <v>3</v>
      </c>
      <c r="J268" s="10" cm="1">
        <f t="array" ref="J268">IFERROR(
IF(B268="Campanha Renovação - Móvel",
D268*INDEX($L$3:$N$13,MATCH(B268,$K$3:$K$13,0),I268),
G268*INDEX($L$3:$N$13,MATCH(B268,$K$3:$K$13,0),I268)
),
0)</f>
        <v>63.99</v>
      </c>
    </row>
    <row r="269" spans="1:10" x14ac:dyDescent="0.3">
      <c r="A269" s="7" t="s">
        <v>88</v>
      </c>
      <c r="B269" s="6" t="s">
        <v>20</v>
      </c>
      <c r="C269" s="6" t="s">
        <v>6</v>
      </c>
      <c r="D269" s="6">
        <v>1</v>
      </c>
      <c r="E269" s="8">
        <v>26</v>
      </c>
      <c r="F269" s="6" t="s">
        <v>94</v>
      </c>
      <c r="G269" s="12">
        <f t="shared" si="12"/>
        <v>26</v>
      </c>
      <c r="H269">
        <f t="shared" si="13"/>
        <v>26</v>
      </c>
      <c r="I269">
        <f t="shared" si="14"/>
        <v>3</v>
      </c>
      <c r="J269" s="10" cm="1">
        <f t="array" ref="J269">IFERROR(
IF(B269="Campanha Renovação - Móvel",
D269*INDEX($L$3:$N$13,MATCH(B269,$K$3:$K$13,0),I269),
G269*INDEX($L$3:$N$13,MATCH(B269,$K$3:$K$13,0),I269)
),
0)</f>
        <v>26</v>
      </c>
    </row>
    <row r="270" spans="1:10" x14ac:dyDescent="0.3">
      <c r="A270" s="7" t="s">
        <v>90</v>
      </c>
      <c r="B270" s="6" t="s">
        <v>18</v>
      </c>
      <c r="C270" s="6" t="s">
        <v>17</v>
      </c>
      <c r="D270" s="6">
        <v>1</v>
      </c>
      <c r="E270" s="8">
        <v>100</v>
      </c>
      <c r="F270" s="6" t="s">
        <v>94</v>
      </c>
      <c r="G270" s="12">
        <f t="shared" si="12"/>
        <v>100</v>
      </c>
      <c r="H270">
        <f t="shared" si="13"/>
        <v>50</v>
      </c>
      <c r="I270">
        <f t="shared" si="14"/>
        <v>3</v>
      </c>
      <c r="J270" s="10" cm="1">
        <f t="array" ref="J270">IFERROR(
IF(B270="Campanha Renovação - Móvel",
D270*INDEX($L$3:$N$13,MATCH(B270,$K$3:$K$13,0),I270),
G270*INDEX($L$3:$N$13,MATCH(B270,$K$3:$K$13,0),I270)
),
0)</f>
        <v>100</v>
      </c>
    </row>
    <row r="271" spans="1:10" x14ac:dyDescent="0.3">
      <c r="A271" s="7" t="s">
        <v>78</v>
      </c>
      <c r="B271" s="6" t="s">
        <v>36</v>
      </c>
      <c r="C271" s="6" t="s">
        <v>39</v>
      </c>
      <c r="D271" s="6">
        <v>1</v>
      </c>
      <c r="E271" s="8">
        <v>479</v>
      </c>
      <c r="F271" s="6" t="s">
        <v>94</v>
      </c>
      <c r="G271" s="12">
        <f t="shared" si="12"/>
        <v>479</v>
      </c>
      <c r="H271">
        <f t="shared" si="13"/>
        <v>479</v>
      </c>
      <c r="I271">
        <f t="shared" si="14"/>
        <v>3</v>
      </c>
      <c r="J271" s="10" cm="1">
        <f t="array" ref="J271">IFERROR(
IF(B271="Campanha Renovação - Móvel",
D271*INDEX($L$3:$N$13,MATCH(B271,$K$3:$K$13,0),I271),
G271*INDEX($L$3:$N$13,MATCH(B271,$K$3:$K$13,0),I271)
),
0)</f>
        <v>718.5</v>
      </c>
    </row>
    <row r="272" spans="1:10" x14ac:dyDescent="0.3">
      <c r="A272" s="7" t="s">
        <v>78</v>
      </c>
      <c r="B272" s="6" t="s">
        <v>36</v>
      </c>
      <c r="C272" s="6" t="s">
        <v>40</v>
      </c>
      <c r="D272" s="6">
        <v>1</v>
      </c>
      <c r="E272" s="8">
        <v>500</v>
      </c>
      <c r="F272" s="6" t="s">
        <v>94</v>
      </c>
      <c r="G272" s="12">
        <f t="shared" si="12"/>
        <v>500</v>
      </c>
      <c r="H272">
        <f t="shared" si="13"/>
        <v>500</v>
      </c>
      <c r="I272">
        <f t="shared" si="14"/>
        <v>3</v>
      </c>
      <c r="J272" s="10" cm="1">
        <f t="array" ref="J272">IFERROR(
IF(B272="Campanha Renovação - Móvel",
D272*INDEX($L$3:$N$13,MATCH(B272,$K$3:$K$13,0),I272),
G272*INDEX($L$3:$N$13,MATCH(B272,$K$3:$K$13,0),I272)
),
0)</f>
        <v>750</v>
      </c>
    </row>
  </sheetData>
  <autoFilter ref="A1:F272" xr:uid="{68711161-0579-4689-9003-830217C9BFEF}"/>
  <phoneticPr fontId="5" type="noConversion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0CB2F-CEFD-4674-A9D1-E1323602347A}">
  <dimension ref="A1:C5"/>
  <sheetViews>
    <sheetView tabSelected="1" workbookViewId="0">
      <selection activeCell="I20" sqref="I20"/>
    </sheetView>
  </sheetViews>
  <sheetFormatPr defaultRowHeight="14.4" x14ac:dyDescent="0.3"/>
  <cols>
    <col min="1" max="1" width="16.77734375" bestFit="1" customWidth="1"/>
    <col min="2" max="2" width="19.109375" bestFit="1" customWidth="1"/>
    <col min="3" max="4" width="16.88671875" bestFit="1" customWidth="1"/>
  </cols>
  <sheetData>
    <row r="1" spans="1:3" x14ac:dyDescent="0.3">
      <c r="A1" s="13" t="s">
        <v>106</v>
      </c>
      <c r="B1" t="s">
        <v>108</v>
      </c>
      <c r="C1" t="s">
        <v>109</v>
      </c>
    </row>
    <row r="2" spans="1:3" x14ac:dyDescent="0.3">
      <c r="A2" s="14" t="s">
        <v>93</v>
      </c>
      <c r="B2">
        <v>2964.7599999999979</v>
      </c>
      <c r="C2" s="11">
        <v>2973.7519999999981</v>
      </c>
    </row>
    <row r="3" spans="1:3" x14ac:dyDescent="0.3">
      <c r="A3" s="14" t="s">
        <v>94</v>
      </c>
      <c r="B3">
        <v>4063.7299999999996</v>
      </c>
      <c r="C3" s="11">
        <v>6270.5999999999985</v>
      </c>
    </row>
    <row r="4" spans="1:3" x14ac:dyDescent="0.3">
      <c r="A4" s="14" t="s">
        <v>92</v>
      </c>
      <c r="B4">
        <v>1374.92</v>
      </c>
      <c r="C4" s="11">
        <v>0</v>
      </c>
    </row>
    <row r="5" spans="1:3" x14ac:dyDescent="0.3">
      <c r="A5" s="14" t="s">
        <v>107</v>
      </c>
      <c r="B5">
        <v>8403.409999999998</v>
      </c>
      <c r="C5" s="11">
        <v>9244.3519999999971</v>
      </c>
    </row>
  </sheetData>
  <pageMargins left="0.511811024" right="0.511811024" top="0.78740157499999996" bottom="0.78740157499999996" header="0.31496062000000002" footer="0.31496062000000002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86010-7FC0-4EB4-B6C8-1BF9717D5AE2}">
  <dimension ref="A1:B13"/>
  <sheetViews>
    <sheetView workbookViewId="0">
      <selection activeCell="D16" sqref="D16"/>
    </sheetView>
  </sheetViews>
  <sheetFormatPr defaultRowHeight="14.4" x14ac:dyDescent="0.3"/>
  <cols>
    <col min="1" max="1" width="26.21875" bestFit="1" customWidth="1"/>
    <col min="2" max="2" width="19.77734375" bestFit="1" customWidth="1"/>
    <col min="3" max="3" width="23" bestFit="1" customWidth="1"/>
  </cols>
  <sheetData>
    <row r="1" spans="1:2" x14ac:dyDescent="0.3">
      <c r="A1" s="13" t="s">
        <v>106</v>
      </c>
      <c r="B1" t="s">
        <v>111</v>
      </c>
    </row>
    <row r="2" spans="1:2" x14ac:dyDescent="0.3">
      <c r="A2" s="14" t="s">
        <v>38</v>
      </c>
      <c r="B2">
        <v>1</v>
      </c>
    </row>
    <row r="3" spans="1:2" x14ac:dyDescent="0.3">
      <c r="A3" s="14" t="s">
        <v>25</v>
      </c>
      <c r="B3">
        <v>1</v>
      </c>
    </row>
    <row r="4" spans="1:2" x14ac:dyDescent="0.3">
      <c r="A4" s="14" t="s">
        <v>16</v>
      </c>
      <c r="B4">
        <v>2</v>
      </c>
    </row>
    <row r="5" spans="1:2" x14ac:dyDescent="0.3">
      <c r="A5" s="14" t="s">
        <v>36</v>
      </c>
      <c r="B5">
        <v>3</v>
      </c>
    </row>
    <row r="6" spans="1:2" x14ac:dyDescent="0.3">
      <c r="A6" s="14" t="s">
        <v>20</v>
      </c>
      <c r="B6">
        <v>4</v>
      </c>
    </row>
    <row r="7" spans="1:2" x14ac:dyDescent="0.3">
      <c r="A7" s="14" t="s">
        <v>22</v>
      </c>
      <c r="B7">
        <v>4</v>
      </c>
    </row>
    <row r="8" spans="1:2" x14ac:dyDescent="0.3">
      <c r="A8" s="14" t="s">
        <v>27</v>
      </c>
      <c r="B8">
        <v>10</v>
      </c>
    </row>
    <row r="9" spans="1:2" x14ac:dyDescent="0.3">
      <c r="A9" s="14" t="s">
        <v>18</v>
      </c>
      <c r="B9">
        <v>11</v>
      </c>
    </row>
    <row r="10" spans="1:2" x14ac:dyDescent="0.3">
      <c r="A10" s="14" t="s">
        <v>5</v>
      </c>
      <c r="B10">
        <v>13</v>
      </c>
    </row>
    <row r="11" spans="1:2" x14ac:dyDescent="0.3">
      <c r="A11" s="14" t="s">
        <v>10</v>
      </c>
      <c r="B11">
        <v>50</v>
      </c>
    </row>
    <row r="12" spans="1:2" x14ac:dyDescent="0.3">
      <c r="A12" s="14" t="s">
        <v>8</v>
      </c>
      <c r="B12">
        <v>172</v>
      </c>
    </row>
    <row r="13" spans="1:2" x14ac:dyDescent="0.3">
      <c r="A13" s="14" t="s">
        <v>107</v>
      </c>
      <c r="B13">
        <v>271</v>
      </c>
    </row>
  </sheetData>
  <pageMargins left="0.511811024" right="0.511811024" top="0.78740157499999996" bottom="0.78740157499999996" header="0.31496062000000002" footer="0.31496062000000002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928E1D-AC2E-400B-9D66-B76DE02A8054}">
  <dimension ref="A1:B13"/>
  <sheetViews>
    <sheetView workbookViewId="0">
      <selection activeCell="F20" sqref="F20"/>
    </sheetView>
  </sheetViews>
  <sheetFormatPr defaultRowHeight="14.4" x14ac:dyDescent="0.3"/>
  <cols>
    <col min="1" max="1" width="26.21875" bestFit="1" customWidth="1"/>
    <col min="2" max="2" width="17" bestFit="1" customWidth="1"/>
  </cols>
  <sheetData>
    <row r="1" spans="1:2" x14ac:dyDescent="0.3">
      <c r="A1" s="13" t="s">
        <v>106</v>
      </c>
      <c r="B1" t="s">
        <v>112</v>
      </c>
    </row>
    <row r="2" spans="1:2" x14ac:dyDescent="0.3">
      <c r="A2" s="14" t="s">
        <v>16</v>
      </c>
      <c r="B2" s="12">
        <v>20</v>
      </c>
    </row>
    <row r="3" spans="1:2" x14ac:dyDescent="0.3">
      <c r="A3" s="14" t="s">
        <v>25</v>
      </c>
      <c r="B3" s="12">
        <v>39.99</v>
      </c>
    </row>
    <row r="4" spans="1:2" x14ac:dyDescent="0.3">
      <c r="A4" s="14" t="s">
        <v>27</v>
      </c>
      <c r="B4" s="12">
        <v>100</v>
      </c>
    </row>
    <row r="5" spans="1:2" x14ac:dyDescent="0.3">
      <c r="A5" s="14" t="s">
        <v>22</v>
      </c>
      <c r="B5" s="12">
        <v>129.99</v>
      </c>
    </row>
    <row r="6" spans="1:2" x14ac:dyDescent="0.3">
      <c r="A6" s="14" t="s">
        <v>20</v>
      </c>
      <c r="B6" s="12">
        <v>189.98</v>
      </c>
    </row>
    <row r="7" spans="1:2" x14ac:dyDescent="0.3">
      <c r="A7" s="14" t="s">
        <v>38</v>
      </c>
      <c r="B7" s="12">
        <v>200</v>
      </c>
    </row>
    <row r="8" spans="1:2" x14ac:dyDescent="0.3">
      <c r="A8" s="14" t="s">
        <v>5</v>
      </c>
      <c r="B8" s="12">
        <v>674.93999999999994</v>
      </c>
    </row>
    <row r="9" spans="1:2" x14ac:dyDescent="0.3">
      <c r="A9" s="14" t="s">
        <v>18</v>
      </c>
      <c r="B9" s="12">
        <v>1270</v>
      </c>
    </row>
    <row r="10" spans="1:2" x14ac:dyDescent="0.3">
      <c r="A10" s="14" t="s">
        <v>36</v>
      </c>
      <c r="B10" s="12">
        <v>1479</v>
      </c>
    </row>
    <row r="11" spans="1:2" x14ac:dyDescent="0.3">
      <c r="A11" s="14" t="s">
        <v>10</v>
      </c>
      <c r="B11" s="12">
        <v>3344.499999999995</v>
      </c>
    </row>
    <row r="12" spans="1:2" x14ac:dyDescent="0.3">
      <c r="A12" s="14" t="s">
        <v>8</v>
      </c>
      <c r="B12" s="12">
        <v>6173.2799999999752</v>
      </c>
    </row>
    <row r="13" spans="1:2" x14ac:dyDescent="0.3">
      <c r="A13" s="14" t="s">
        <v>107</v>
      </c>
      <c r="B13" s="12">
        <v>13621.679999999968</v>
      </c>
    </row>
  </sheetData>
  <pageMargins left="0.511811024" right="0.511811024" top="0.78740157499999996" bottom="0.78740157499999996" header="0.31496062000000002" footer="0.31496062000000002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Planilha 1</vt:lpstr>
      <vt:lpstr>VENDAS</vt:lpstr>
      <vt:lpstr>QUANTIDADE PRODUTOS</vt:lpstr>
      <vt:lpstr>VENDAS PRODUTOS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palnejamento2</dc:creator>
  <cp:lastModifiedBy>Igor mota gonçalves</cp:lastModifiedBy>
  <dcterms:created xsi:type="dcterms:W3CDTF">2026-06-22T19:58:13Z</dcterms:created>
  <dcterms:modified xsi:type="dcterms:W3CDTF">2026-07-14T18:08:17Z</dcterms:modified>
</cp:coreProperties>
</file>